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e33e574a4c4bf7" /></Relationships>
</file>

<file path=xl/workbook.xml><?xml version="1.0" encoding="utf-8"?>
<x:workbook xmlns:x="http://schemas.openxmlformats.org/spreadsheetml/2006/main">
  <x:sheets>
    <x:sheet xmlns:r="http://schemas.openxmlformats.org/officeDocument/2006/relationships" name="Datos" sheetId="1" r:id="R12d9297c2b78466b"/>
    <x:sheet xmlns:r="http://schemas.openxmlformats.org/officeDocument/2006/relationships" name="Diccionario" sheetId="2" r:id="R7a0425cb6169454f"/>
    <x:sheet xmlns:r="http://schemas.openxmlformats.org/officeDocument/2006/relationships" name="Escenarios" sheetId="3" r:id="Rfba744a06fd8468f"/>
    <x:sheet xmlns:r="http://schemas.openxmlformats.org/officeDocument/2006/relationships" name="LEEME" sheetId="4" r:id="R5c5a7c69377a493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0"/>
    <x:numFmt numFmtId="203" formatCode="0"/>
  </x:numFmts>
  <x:fonts count="4">
    <x:font>
      <x:sz val="11"/>
      <x:name val="Carlito"/>
    </x:font>
    <x:font>
      <x:b/>
      <x:sz val="11"/>
      <x:color rgb="FFFFFFFF"/>
      <x:name val="Carlito"/>
    </x:font>
    <x:font>
      <x:b/>
      <x:sz val="16"/>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0" xfId="0" applyNumberFormat="1" applyFont="1" applyFill="1" applyBorder="1" applyAlignment="1">
      <x:alignment wrapText="1"/>
    </x:xf>
    <x:xf numFmtId="203" fontId="0" fillId="0" borderId="1"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2" fillId="2" borderId="0" xfId="0" applyNumberFormat="1" applyFont="1" applyFill="1" applyBorder="1" applyAlignment="1">
      <x:alignment wrapText="1"/>
    </x:xf>
    <x:xf numFmtId="0" fontId="3" fillId="3" borderId="0" xfId="0" applyNumberFormat="1" applyFont="1" applyFill="1" applyBorder="1" applyAlignment="1">
      <x:alignment wrapText="1"/>
    </x:xf>
  </x:cellXfs>
  <x:cellStyles count="1">
    <x:cellStyle name="Normal" xfId="0"/>
  </x:cellStyles>
  <x:dxfs count="1">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b3e92161199422f" /><Relationship Type="http://schemas.openxmlformats.org/officeDocument/2006/relationships/theme" Target="/xl/theme/theme1.xml" Id="Rf07e80a2d2104b5a" /><Relationship Type="http://schemas.openxmlformats.org/officeDocument/2006/relationships/sharedStrings" Target="/xl/sharedStrings.xml" Id="R1433bab4fa2443f7" /><Relationship Type="http://schemas.openxmlformats.org/officeDocument/2006/relationships/worksheet" Target="/xl/worksheets/sheet1.xml" Id="R12d9297c2b78466b" /><Relationship Type="http://schemas.openxmlformats.org/officeDocument/2006/relationships/worksheet" Target="/xl/worksheets/sheet2.xml" Id="R7a0425cb6169454f" /><Relationship Type="http://schemas.openxmlformats.org/officeDocument/2006/relationships/worksheet" Target="/xl/worksheets/sheet3.xml" Id="Rfba744a06fd8468f" /><Relationship Type="http://schemas.openxmlformats.org/officeDocument/2006/relationships/worksheet" Target="/xl/worksheets/sheet4.xml" Id="R5c5a7c69377a493e" /></Relationships>
</file>

<file path=xl/tables/table1.xml><?xml version="1.0" encoding="utf-8"?>
<x:table xmlns:x="http://schemas.openxmlformats.org/spreadsheetml/2006/main" id="1" name="DatosVentas" displayName="DatosVentas" ref="A1:U481" headerRowCount="1" totalsRowCount="0" totalsRowShown="0">
  <x:tableColumns count="21">
    <x:tableColumn id="1" name="Venta_ID"/>
    <x:tableColumn id="2" name="Fecha"/>
    <x:tableColumn id="3" name="Ciudad"/>
    <x:tableColumn id="4" name="Canal"/>
    <x:tableColumn id="5" name="Categoría"/>
    <x:tableColumn id="6" name="Producto"/>
    <x:tableColumn id="7" name="Cliente_ID_Anonimo"/>
    <x:tableColumn id="8" name="Tipo_Cliente"/>
    <x:tableColumn id="9" name="Unidades"/>
    <x:tableColumn id="10" name="Precio_Unitario"/>
    <x:tableColumn id="11" name="Descuento_Pct"/>
    <x:tableColumn id="12" name="Costo_Unitario"/>
    <x:tableColumn id="13" name="Medio_Pago"/>
    <x:tableColumn id="14" name="Tiempo_Entrega_Min"/>
    <x:tableColumn id="15" name="Estado_Entrega"/>
    <x:tableColumn id="16" name="Satisfaccion_1_5"/>
    <x:tableColumn id="17" name="Ingreso_Bruto"/>
    <x:tableColumn id="18" name="Descuento_Valor"/>
    <x:tableColumn id="19" name="Ingreso_Neto"/>
    <x:tableColumn id="20" name="Costo_Total"/>
    <x:tableColumn id="21" name="Margen_Brut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464649c30aa4f70" /></Relationships>
</file>

<file path=xl/worksheets/sheet1.xml><?xml version="1.0" encoding="utf-8"?>
<x:worksheet xmlns:x="http://schemas.openxmlformats.org/spreadsheetml/2006/main">
  <x:sheetFormatPr defaultRowHeight="15"/>
  <x:cols>
    <x:col min="1" max="1" width="12" hidden="0" customWidth="1"/>
    <x:col min="2" max="2" width="12" hidden="0" customWidth="1"/>
    <x:col min="3" max="3" width="14" hidden="0" customWidth="1"/>
    <x:col min="4" max="4" width="12" hidden="0" customWidth="1"/>
    <x:col min="5" max="5" width="20" hidden="0" customWidth="1"/>
    <x:col min="6" max="6" width="24" hidden="0" customWidth="1"/>
    <x:col min="7" max="7" width="20" hidden="0" customWidth="1"/>
    <x:col min="8" max="8" width="14" hidden="0" customWidth="1"/>
    <x:col min="9" max="9" width="10" hidden="0" customWidth="1"/>
    <x:col min="10" max="10" width="16" hidden="0" customWidth="1"/>
    <x:col min="11" max="11" width="14" hidden="0" customWidth="1"/>
    <x:col min="12" max="12" width="15" hidden="0" customWidth="1"/>
    <x:col min="13" max="13" width="18" hidden="0" customWidth="1"/>
    <x:col min="14" max="14" width="18" hidden="0" customWidth="1"/>
    <x:col min="15" max="15" width="16" hidden="0" customWidth="1"/>
    <x:col min="16" max="16" width="18" hidden="0" customWidth="1"/>
    <x:col min="17" max="17" width="16" hidden="0" customWidth="1"/>
    <x:col min="18" max="18" width="18" hidden="0" customWidth="1"/>
    <x:col min="19" max="19" width="16" hidden="0" customWidth="1"/>
    <x:col min="20" max="20" width="15" hidden="0" customWidth="1"/>
    <x:col min="21" max="21" width="16" hidden="0" customWidth="1"/>
  </x:cols>
  <x:sheetData>
    <x:row r="1">
      <x:c r="A1" s="10" t="str">
        <x:v>Venta_ID</x:v>
      </x:c>
      <x:c r="B1" s="10" t="str">
        <x:v>Fecha</x:v>
      </x:c>
      <x:c r="C1" s="10" t="str">
        <x:v>Ciudad</x:v>
      </x:c>
      <x:c r="D1" s="10" t="str">
        <x:v>Canal</x:v>
      </x:c>
      <x:c r="E1" s="10" t="str">
        <x:v>Categoría</x:v>
      </x:c>
      <x:c r="F1" s="10" t="str">
        <x:v>Producto</x:v>
      </x:c>
      <x:c r="G1" s="10" t="str">
        <x:v>Cliente_ID_Anonimo</x:v>
      </x:c>
      <x:c r="H1" s="10" t="str">
        <x:v>Tipo_Cliente</x:v>
      </x:c>
      <x:c r="I1" s="10" t="str">
        <x:v>Unidades</x:v>
      </x:c>
      <x:c r="J1" s="10" t="str">
        <x:v>Precio_Unitario</x:v>
      </x:c>
      <x:c r="K1" s="10" t="str">
        <x:v>Descuento_Pct</x:v>
      </x:c>
      <x:c r="L1" s="10" t="str">
        <x:v>Costo_Unitario</x:v>
      </x:c>
      <x:c r="M1" s="10" t="str">
        <x:v>Medio_Pago</x:v>
      </x:c>
      <x:c r="N1" s="10" t="str">
        <x:v>Tiempo_Entrega_Min</x:v>
      </x:c>
      <x:c r="O1" s="10" t="str">
        <x:v>Estado_Entrega</x:v>
      </x:c>
      <x:c r="P1" s="10" t="str">
        <x:v>Satisfaccion_1_5</x:v>
      </x:c>
      <x:c r="Q1" s="10" t="str">
        <x:v>Ingreso_Bruto</x:v>
      </x:c>
      <x:c r="R1" s="10" t="str">
        <x:v>Descuento_Valor</x:v>
      </x:c>
      <x:c r="S1" s="10" t="str">
        <x:v>Ingreso_Neto</x:v>
      </x:c>
      <x:c r="T1" s="10" t="str">
        <x:v>Costo_Total</x:v>
      </x:c>
      <x:c r="U1" s="10" t="str">
        <x:v>Margen_Bruto</x:v>
      </x:c>
    </x:row>
    <x:row r="2">
      <x:c r="A2" s="11" t="str">
        <x:v>V-0216</x:v>
      </x:c>
      <x:c r="B2" s="14" t="n">
        <x:v>46023</x:v>
      </x:c>
      <x:c r="C2" s="11" t="str">
        <x:v>Cali</x:v>
      </x:c>
      <x:c r="D2" s="11" t="str">
        <x:v>App</x:v>
      </x:c>
      <x:c r="E2" s="11" t="str">
        <x:v>Bebidas</x:v>
      </x:c>
      <x:c r="F2" s="11" t="str">
        <x:v>Bebida fría</x:v>
      </x:c>
      <x:c r="G2" s="11" t="str">
        <x:v>C-0061</x:v>
      </x:c>
      <x:c r="H2" s="11" t="str">
        <x:v>Recurrente</x:v>
      </x:c>
      <x:c r="I2" s="11" t="n">
        <x:v>3</x:v>
      </x:c>
      <x:c r="J2" s="18" t="n">
        <x:v>6800</x:v>
      </x:c>
      <x:c r="K2" s="16" t="n">
        <x:v>0</x:v>
      </x:c>
      <x:c r="L2" s="18" t="n">
        <x:v>3500</x:v>
      </x:c>
      <x:c r="M2" s="11" t="str">
        <x:v>Billetera digital</x:v>
      </x:c>
      <x:c r="N2" s="11" t="n">
        <x:v>50</x:v>
      </x:c>
      <x:c r="O2" s="11" t="str">
        <x:v>A tiempo</x:v>
      </x:c>
      <x:c r="P2" s="20" t="n">
        <x:v>5</x:v>
      </x:c>
      <x:c r="Q2" s="18" t="n">
        <x:f>I2*J2</x:f>
        <x:v>20400</x:v>
      </x:c>
      <x:c r="R2" s="18" t="n">
        <x:f>Q2*K2</x:f>
        <x:v>0</x:v>
      </x:c>
      <x:c r="S2" s="18" t="n">
        <x:f>Q2-R2</x:f>
        <x:v>20400</x:v>
      </x:c>
      <x:c r="T2" s="18" t="n">
        <x:f>I2*L2</x:f>
        <x:v>10500</x:v>
      </x:c>
      <x:c r="U2" s="18" t="n">
        <x:f>S2-T2</x:f>
        <x:v>9900</x:v>
      </x:c>
    </x:row>
    <x:row r="3">
      <x:c r="A3" s="11" t="str">
        <x:v>V-0158</x:v>
      </x:c>
      <x:c r="B3" s="14" t="n">
        <x:v>46024</x:v>
      </x:c>
      <x:c r="C3" s="11" t="str">
        <x:v>Ibagué</x:v>
      </x:c>
      <x:c r="D3" s="11" t="str">
        <x:v>App</x:v>
      </x:c>
      <x:c r="E3" s="11" t="str">
        <x:v>Cuidado personal</x:v>
      </x:c>
      <x:c r="F3" s="11" t="str">
        <x:v>Accesorio personal</x:v>
      </x:c>
      <x:c r="G3" s="11" t="str">
        <x:v>C-0081</x:v>
      </x:c>
      <x:c r="H3" s="11" t="str">
        <x:v>Nuevo</x:v>
      </x:c>
      <x:c r="I3" s="11" t="n">
        <x:v>2</x:v>
      </x:c>
      <x:c r="J3" s="18" t="n">
        <x:v>18800</x:v>
      </x:c>
      <x:c r="K3" s="16" t="n">
        <x:v>0</x:v>
      </x:c>
      <x:c r="L3" s="18" t="n">
        <x:v>10100</x:v>
      </x:c>
      <x:c r="M3" s="11" t="str">
        <x:v>Tarjeta</x:v>
      </x:c>
      <x:c r="N3" s="11" t="n">
        <x:v>64</x:v>
      </x:c>
      <x:c r="O3" s="11" t="str">
        <x:v>Tardía</x:v>
      </x:c>
      <x:c r="P3" s="20" t="n">
        <x:v>4</x:v>
      </x:c>
      <x:c r="Q3" s="18" t="n">
        <x:f>I3*J3</x:f>
        <x:v>37600</x:v>
      </x:c>
      <x:c r="R3" s="18" t="n">
        <x:f>Q3*K3</x:f>
        <x:v>0</x:v>
      </x:c>
      <x:c r="S3" s="18" t="n">
        <x:f>Q3-R3</x:f>
        <x:v>37600</x:v>
      </x:c>
      <x:c r="T3" s="18" t="n">
        <x:f>I3*L3</x:f>
        <x:v>20200</x:v>
      </x:c>
      <x:c r="U3" s="18" t="n">
        <x:f>S3-T3</x:f>
        <x:v>17400</x:v>
      </x:c>
    </x:row>
    <x:row r="4">
      <x:c r="A4" s="11" t="str">
        <x:v>V-0239</x:v>
      </x:c>
      <x:c r="B4" s="14" t="n">
        <x:v>46024</x:v>
      </x:c>
      <x:c r="C4" s="11" t="str">
        <x:v>Cali</x:v>
      </x:c>
      <x:c r="D4" s="11" t="str">
        <x:v>App</x:v>
      </x:c>
      <x:c r="E4" s="11" t="str">
        <x:v>Alimentos</x:v>
      </x:c>
      <x:c r="F4" s="11" t="str">
        <x:v>Snack saludable</x:v>
      </x:c>
      <x:c r="G4" s="11" t="str">
        <x:v>C-0092</x:v>
      </x:c>
      <x:c r="H4" s="11" t="str">
        <x:v>Recurrente</x:v>
      </x:c>
      <x:c r="I4" s="11" t="n">
        <x:v>3</x:v>
      </x:c>
      <x:c r="J4" s="18" t="n">
        <x:v>8100</x:v>
      </x:c>
      <x:c r="K4" s="16" t="n">
        <x:v>0.05</x:v>
      </x:c>
      <x:c r="L4" s="18" t="n">
        <x:v>4800</x:v>
      </x:c>
      <x:c r="M4" s="11" t="str">
        <x:v>Transferencia</x:v>
      </x:c>
      <x:c r="N4" s="11" t="n">
        <x:v>40</x:v>
      </x:c>
      <x:c r="O4" s="11" t="str">
        <x:v>A tiempo</x:v>
      </x:c>
      <x:c r="P4" s="20" t="n">
        <x:v>4</x:v>
      </x:c>
      <x:c r="Q4" s="18" t="n">
        <x:f>I4*J4</x:f>
        <x:v>24300</x:v>
      </x:c>
      <x:c r="R4" s="18" t="n">
        <x:f>Q4*K4</x:f>
        <x:v>1215</x:v>
      </x:c>
      <x:c r="S4" s="18" t="n">
        <x:f>Q4-R4</x:f>
        <x:v>23085</x:v>
      </x:c>
      <x:c r="T4" s="18" t="n">
        <x:f>I4*L4</x:f>
        <x:v>14400</x:v>
      </x:c>
      <x:c r="U4" s="18" t="n">
        <x:f>S4-T4</x:f>
        <x:v>8685</x:v>
      </x:c>
    </x:row>
    <x:row r="5">
      <x:c r="A5" s="11" t="str">
        <x:v>V-0355</x:v>
      </x:c>
      <x:c r="B5" s="14" t="n">
        <x:v>46024</x:v>
      </x:c>
      <x:c r="C5" s="11" t="str">
        <x:v>Cali</x:v>
      </x:c>
      <x:c r="D5" s="11" t="str">
        <x:v>App</x:v>
      </x:c>
      <x:c r="E5" s="11" t="str">
        <x:v>Alimentos</x:v>
      </x:c>
      <x:c r="F5" s="11" t="str">
        <x:v>Producto gourmet</x:v>
      </x:c>
      <x:c r="G5" s="11" t="str">
        <x:v>C-0071</x:v>
      </x:c>
      <x:c r="H5" s="11" t="str">
        <x:v>Recurrente</x:v>
      </x:c>
      <x:c r="I5" s="11" t="n">
        <x:v>4</x:v>
      </x:c>
      <x:c r="J5" s="18" t="n">
        <x:v>34400</x:v>
      </x:c>
      <x:c r="K5" s="16" t="n">
        <x:v>0.2</x:v>
      </x:c>
      <x:c r="L5" s="18" t="n">
        <x:v>21600</x:v>
      </x:c>
      <x:c r="M5" s="11" t="str">
        <x:v>Efectivo</x:v>
      </x:c>
      <x:c r="N5" s="11" t="n">
        <x:v>54</x:v>
      </x:c>
      <x:c r="O5" s="11" t="str">
        <x:v>A tiempo</x:v>
      </x:c>
      <x:c r="P5" s="20" t="n">
        <x:v>4</x:v>
      </x:c>
      <x:c r="Q5" s="18" t="n">
        <x:f>I5*J5</x:f>
        <x:v>137600</x:v>
      </x:c>
      <x:c r="R5" s="18" t="n">
        <x:f>Q5*K5</x:f>
        <x:v>27520</x:v>
      </x:c>
      <x:c r="S5" s="18" t="n">
        <x:f>Q5-R5</x:f>
        <x:v>110080</x:v>
      </x:c>
      <x:c r="T5" s="18" t="n">
        <x:f>I5*L5</x:f>
        <x:v>86400</x:v>
      </x:c>
      <x:c r="U5" s="18" t="n">
        <x:f>S5-T5</x:f>
        <x:v>23680</x:v>
      </x:c>
    </x:row>
    <x:row r="6">
      <x:c r="A6" s="11" t="str">
        <x:v>V-0357</x:v>
      </x:c>
      <x:c r="B6" s="14" t="n">
        <x:v>46024</x:v>
      </x:c>
      <x:c r="C6" s="11" t="str">
        <x:v>Cali</x:v>
      </x:c>
      <x:c r="D6" s="11" t="str">
        <x:v>Tienda</x:v>
      </x:c>
      <x:c r="E6" s="11" t="str">
        <x:v>Bebidas</x:v>
      </x:c>
      <x:c r="F6" s="11" t="str">
        <x:v>Bebida fría</x:v>
      </x:c>
      <x:c r="G6" s="11" t="str">
        <x:v>C-0019</x:v>
      </x:c>
      <x:c r="H6" s="11" t="str">
        <x:v>Recurrente</x:v>
      </x:c>
      <x:c r="I6" s="11" t="n">
        <x:v>4</x:v>
      </x:c>
      <x:c r="J6" s="18" t="n">
        <x:v>7600</x:v>
      </x:c>
      <x:c r="K6" s="16" t="n">
        <x:v>0.1</x:v>
      </x:c>
      <x:c r="L6" s="18" t="n">
        <x:v>3800</x:v>
      </x:c>
      <x:c r="M6" s="11" t="str">
        <x:v>Billetera digital</x:v>
      </x:c>
      <x:c r="N6" s="11" t="n">
        <x:v>0</x:v>
      </x:c>
      <x:c r="O6" s="11" t="str">
        <x:v>No aplica</x:v>
      </x:c>
      <x:c r="P6" s="20" t="n">
        <x:v>4</x:v>
      </x:c>
      <x:c r="Q6" s="18" t="n">
        <x:f>I6*J6</x:f>
        <x:v>30400</x:v>
      </x:c>
      <x:c r="R6" s="18" t="n">
        <x:f>Q6*K6</x:f>
        <x:v>3040</x:v>
      </x:c>
      <x:c r="S6" s="18" t="n">
        <x:f>Q6-R6</x:f>
        <x:v>27360</x:v>
      </x:c>
      <x:c r="T6" s="18" t="n">
        <x:f>I6*L6</x:f>
        <x:v>15200</x:v>
      </x:c>
      <x:c r="U6" s="18" t="n">
        <x:f>S6-T6</x:f>
        <x:v>12160</x:v>
      </x:c>
    </x:row>
    <x:row r="7">
      <x:c r="A7" s="11" t="str">
        <x:v>V-0022</x:v>
      </x:c>
      <x:c r="B7" s="14" t="n">
        <x:v>46025</x:v>
      </x:c>
      <x:c r="C7" s="11" t="str">
        <x:v>Neiva</x:v>
      </x:c>
      <x:c r="D7" s="11" t="str">
        <x:v>Tienda</x:v>
      </x:c>
      <x:c r="E7" s="11" t="str">
        <x:v>Cuidado personal</x:v>
      </x:c>
      <x:c r="F7" s="11" t="str">
        <x:v>Kit cuidado</x:v>
      </x:c>
      <x:c r="G7" s="11" t="str">
        <x:v>C-0043</x:v>
      </x:c>
      <x:c r="H7" s="11" t="str">
        <x:v>Nuevo</x:v>
      </x:c>
      <x:c r="I7" s="11" t="n">
        <x:v>1</x:v>
      </x:c>
      <x:c r="J7" s="18" t="n">
        <x:v>44800</x:v>
      </x:c>
      <x:c r="K7" s="16" t="n">
        <x:v>0.1</x:v>
      </x:c>
      <x:c r="L7" s="18" t="n">
        <x:v>27900</x:v>
      </x:c>
      <x:c r="M7" s="11" t="str">
        <x:v>Billetera digital</x:v>
      </x:c>
      <x:c r="N7" s="11" t="n">
        <x:v>0</x:v>
      </x:c>
      <x:c r="O7" s="11" t="str">
        <x:v>No aplica</x:v>
      </x:c>
      <x:c r="P7" s="20" t="n">
        <x:v>4</x:v>
      </x:c>
      <x:c r="Q7" s="18" t="n">
        <x:f>I7*J7</x:f>
        <x:v>44800</x:v>
      </x:c>
      <x:c r="R7" s="18" t="n">
        <x:f>Q7*K7</x:f>
        <x:v>4480</x:v>
      </x:c>
      <x:c r="S7" s="18" t="n">
        <x:f>Q7-R7</x:f>
        <x:v>40320</x:v>
      </x:c>
      <x:c r="T7" s="18" t="n">
        <x:f>I7*L7</x:f>
        <x:v>27900</x:v>
      </x:c>
      <x:c r="U7" s="18" t="n">
        <x:f>S7-T7</x:f>
        <x:v>12420</x:v>
      </x:c>
    </x:row>
    <x:row r="8">
      <x:c r="A8" s="11" t="str">
        <x:v>V-0128</x:v>
      </x:c>
      <x:c r="B8" s="14" t="n">
        <x:v>46025</x:v>
      </x:c>
      <x:c r="C8" s="11" t="str">
        <x:v>Florencia</x:v>
      </x:c>
      <x:c r="D8" s="11" t="str">
        <x:v>App</x:v>
      </x:c>
      <x:c r="E8" s="11" t="str">
        <x:v>Cuidado personal</x:v>
      </x:c>
      <x:c r="F8" s="11" t="str">
        <x:v>Producto bienestar</x:v>
      </x:c>
      <x:c r="G8" s="11" t="str">
        <x:v>C-0118</x:v>
      </x:c>
      <x:c r="H8" s="11" t="str">
        <x:v>Nuevo</x:v>
      </x:c>
      <x:c r="I8" s="11" t="n">
        <x:v>2</x:v>
      </x:c>
      <x:c r="J8" s="18" t="n">
        <x:v>32200</x:v>
      </x:c>
      <x:c r="K8" s="16" t="n">
        <x:v>0.1</x:v>
      </x:c>
      <x:c r="L8" s="18" t="n">
        <x:v>19900</x:v>
      </x:c>
      <x:c r="M8" s="11" t="str">
        <x:v>Tarjeta</x:v>
      </x:c>
      <x:c r="N8" s="11" t="n">
        <x:v>48</x:v>
      </x:c>
      <x:c r="O8" s="11" t="str">
        <x:v>A tiempo</x:v>
      </x:c>
      <x:c r="P8" s="20" t="n">
        <x:v>4</x:v>
      </x:c>
      <x:c r="Q8" s="18" t="n">
        <x:f>I8*J8</x:f>
        <x:v>64400</x:v>
      </x:c>
      <x:c r="R8" s="18" t="n">
        <x:f>Q8*K8</x:f>
        <x:v>6440</x:v>
      </x:c>
      <x:c r="S8" s="18" t="n">
        <x:f>Q8-R8</x:f>
        <x:v>57960</x:v>
      </x:c>
      <x:c r="T8" s="18" t="n">
        <x:f>I8*L8</x:f>
        <x:v>39800</x:v>
      </x:c>
      <x:c r="U8" s="18" t="n">
        <x:f>S8-T8</x:f>
        <x:v>18160</x:v>
      </x:c>
    </x:row>
    <x:row r="9">
      <x:c r="A9" s="11" t="str">
        <x:v>V-0166</x:v>
      </x:c>
      <x:c r="B9" s="14" t="n">
        <x:v>46025</x:v>
      </x:c>
      <x:c r="C9" s="11" t="str">
        <x:v>Medellín</x:v>
      </x:c>
      <x:c r="D9" s="11" t="str">
        <x:v>Web</x:v>
      </x:c>
      <x:c r="E9" s="11" t="str">
        <x:v>Hogar</x:v>
      </x:c>
      <x:c r="F9" s="11" t="str">
        <x:v>Kit limpieza</x:v>
      </x:c>
      <x:c r="G9" s="11" t="str">
        <x:v>C-0087</x:v>
      </x:c>
      <x:c r="H9" s="11" t="str">
        <x:v>Nuevo</x:v>
      </x:c>
      <x:c r="I9" s="11" t="n">
        <x:v>1</x:v>
      </x:c>
      <x:c r="J9" s="18" t="n">
        <x:v>24200</x:v>
      </x:c>
      <x:c r="K9" s="16" t="n">
        <x:v>0</x:v>
      </x:c>
      <x:c r="L9" s="18" t="n">
        <x:v>14500</x:v>
      </x:c>
      <x:c r="M9" s="11" t="str">
        <x:v>Transferencia</x:v>
      </x:c>
      <x:c r="N9" s="11" t="n">
        <x:v>50</x:v>
      </x:c>
      <x:c r="O9" s="11" t="str">
        <x:v>A tiempo</x:v>
      </x:c>
      <x:c r="P9" s="20" t="n">
        <x:v>3</x:v>
      </x:c>
      <x:c r="Q9" s="18" t="n">
        <x:f>I9*J9</x:f>
        <x:v>24200</x:v>
      </x:c>
      <x:c r="R9" s="18" t="n">
        <x:f>Q9*K9</x:f>
        <x:v>0</x:v>
      </x:c>
      <x:c r="S9" s="18" t="n">
        <x:f>Q9-R9</x:f>
        <x:v>24200</x:v>
      </x:c>
      <x:c r="T9" s="18" t="n">
        <x:f>I9*L9</x:f>
        <x:v>14500</x:v>
      </x:c>
      <x:c r="U9" s="18" t="n">
        <x:f>S9-T9</x:f>
        <x:v>9700</x:v>
      </x:c>
    </x:row>
    <x:row r="10">
      <x:c r="A10" s="11" t="str">
        <x:v>V-0135</x:v>
      </x:c>
      <x:c r="B10" s="14" t="n">
        <x:v>46026</x:v>
      </x:c>
      <x:c r="C10" s="11" t="str">
        <x:v>Bogotá</x:v>
      </x:c>
      <x:c r="D10" s="11" t="str">
        <x:v>Tienda</x:v>
      </x:c>
      <x:c r="E10" s="11" t="str">
        <x:v>Alimentos</x:v>
      </x:c>
      <x:c r="F10" s="11" t="str">
        <x:v>Snack saludable</x:v>
      </x:c>
      <x:c r="G10" s="11" t="str">
        <x:v>C-0107</x:v>
      </x:c>
      <x:c r="H10" s="11" t="str">
        <x:v>Recurrente</x:v>
      </x:c>
      <x:c r="I10" s="11" t="n">
        <x:v>5</x:v>
      </x:c>
      <x:c r="J10" s="18" t="n">
        <x:v>8000</x:v>
      </x:c>
      <x:c r="K10" s="16" t="n">
        <x:v>0.15</x:v>
      </x:c>
      <x:c r="L10" s="18" t="n">
        <x:v>4400</x:v>
      </x:c>
      <x:c r="M10" s="11" t="str">
        <x:v>Tarjeta</x:v>
      </x:c>
      <x:c r="N10" s="11" t="n">
        <x:v>0</x:v>
      </x:c>
      <x:c r="O10" s="11" t="str">
        <x:v>No aplica</x:v>
      </x:c>
      <x:c r="P10" s="20" t="n">
        <x:v>5</x:v>
      </x:c>
      <x:c r="Q10" s="18" t="n">
        <x:f>I10*J10</x:f>
        <x:v>40000</x:v>
      </x:c>
      <x:c r="R10" s="18" t="n">
        <x:f>Q10*K10</x:f>
        <x:v>6000</x:v>
      </x:c>
      <x:c r="S10" s="18" t="n">
        <x:f>Q10-R10</x:f>
        <x:v>34000</x:v>
      </x:c>
      <x:c r="T10" s="18" t="n">
        <x:f>I10*L10</x:f>
        <x:v>22000</x:v>
      </x:c>
      <x:c r="U10" s="18" t="n">
        <x:f>S10-T10</x:f>
        <x:v>12000</x:v>
      </x:c>
    </x:row>
    <x:row r="11">
      <x:c r="A11" s="11" t="str">
        <x:v>V-0189</x:v>
      </x:c>
      <x:c r="B11" s="14" t="n">
        <x:v>46026</x:v>
      </x:c>
      <x:c r="C11" s="11" t="str">
        <x:v>Medellín</x:v>
      </x:c>
      <x:c r="D11" s="11" t="str">
        <x:v>Web</x:v>
      </x:c>
      <x:c r="E11" s="11" t="str">
        <x:v>Bebidas</x:v>
      </x:c>
      <x:c r="F11" s="11" t="str">
        <x:v>Bebida premium</x:v>
      </x:c>
      <x:c r="G11" s="11" t="str">
        <x:v>C-0061</x:v>
      </x:c>
      <x:c r="H11" s="11" t="str">
        <x:v>Recurrente</x:v>
      </x:c>
      <x:c r="I11" s="11" t="n">
        <x:v>4</x:v>
      </x:c>
      <x:c r="J11" s="18" t="n">
        <x:v>14900</x:v>
      </x:c>
      <x:c r="K11" s="16" t="n">
        <x:v>0</x:v>
      </x:c>
      <x:c r="L11" s="18" t="n">
        <x:v>8900</x:v>
      </x:c>
      <x:c r="M11" s="11" t="str">
        <x:v>Billetera digital</x:v>
      </x:c>
      <x:c r="N11" s="11" t="n">
        <x:v>51</x:v>
      </x:c>
      <x:c r="O11" s="11" t="str">
        <x:v>A tiempo</x:v>
      </x:c>
      <x:c r="P11" s="20" t="n">
        <x:v>4</x:v>
      </x:c>
      <x:c r="Q11" s="18" t="n">
        <x:f>I11*J11</x:f>
        <x:v>59600</x:v>
      </x:c>
      <x:c r="R11" s="18" t="n">
        <x:f>Q11*K11</x:f>
        <x:v>0</x:v>
      </x:c>
      <x:c r="S11" s="18" t="n">
        <x:f>Q11-R11</x:f>
        <x:v>59600</x:v>
      </x:c>
      <x:c r="T11" s="18" t="n">
        <x:f>I11*L11</x:f>
        <x:v>35600</x:v>
      </x:c>
      <x:c r="U11" s="18" t="n">
        <x:f>S11-T11</x:f>
        <x:v>24000</x:v>
      </x:c>
    </x:row>
    <x:row r="12">
      <x:c r="A12" s="11" t="str">
        <x:v>V-0190</x:v>
      </x:c>
      <x:c r="B12" s="14" t="n">
        <x:v>46027</x:v>
      </x:c>
      <x:c r="C12" s="11" t="str">
        <x:v>Neiva</x:v>
      </x:c>
      <x:c r="D12" s="11" t="str">
        <x:v>Tienda</x:v>
      </x:c>
      <x:c r="E12" s="11" t="str">
        <x:v>Bebidas</x:v>
      </x:c>
      <x:c r="F12" s="11" t="str">
        <x:v>Bebida premium</x:v>
      </x:c>
      <x:c r="G12" s="11" t="str">
        <x:v>C-0056</x:v>
      </x:c>
      <x:c r="H12" s="11" t="str">
        <x:v>Recurrente</x:v>
      </x:c>
      <x:c r="I12" s="11" t="n">
        <x:v>1</x:v>
      </x:c>
      <x:c r="J12" s="18" t="n">
        <x:v>13900</x:v>
      </x:c>
      <x:c r="K12" s="16" t="n">
        <x:v>0</x:v>
      </x:c>
      <x:c r="L12" s="18" t="n">
        <x:v>8300</x:v>
      </x:c>
      <x:c r="M12" s="11" t="str">
        <x:v>Billetera digital</x:v>
      </x:c>
      <x:c r="N12" s="11" t="n">
        <x:v>0</x:v>
      </x:c>
      <x:c r="O12" s="11" t="str">
        <x:v>No aplica</x:v>
      </x:c>
      <x:c r="P12" s="20" t="n">
        <x:v>4</x:v>
      </x:c>
      <x:c r="Q12" s="18" t="n">
        <x:f>I12*J12</x:f>
        <x:v>13900</x:v>
      </x:c>
      <x:c r="R12" s="18" t="n">
        <x:f>Q12*K12</x:f>
        <x:v>0</x:v>
      </x:c>
      <x:c r="S12" s="18" t="n">
        <x:f>Q12-R12</x:f>
        <x:v>13900</x:v>
      </x:c>
      <x:c r="T12" s="18" t="n">
        <x:f>I12*L12</x:f>
        <x:v>8300</x:v>
      </x:c>
      <x:c r="U12" s="18" t="n">
        <x:f>S12-T12</x:f>
        <x:v>5600</x:v>
      </x:c>
    </x:row>
    <x:row r="13">
      <x:c r="A13" s="11" t="str">
        <x:v>V-0456</x:v>
      </x:c>
      <x:c r="B13" s="14" t="n">
        <x:v>46027</x:v>
      </x:c>
      <x:c r="C13" s="11" t="str">
        <x:v>Bogotá</x:v>
      </x:c>
      <x:c r="D13" s="11" t="str">
        <x:v>Web</x:v>
      </x:c>
      <x:c r="E13" s="11" t="str">
        <x:v>Alimentos</x:v>
      </x:c>
      <x:c r="F13" s="11" t="str">
        <x:v>Producto gourmet</x:v>
      </x:c>
      <x:c r="G13" s="11" t="str">
        <x:v>C-0101</x:v>
      </x:c>
      <x:c r="H13" s="11" t="str">
        <x:v>Recurrente</x:v>
      </x:c>
      <x:c r="I13" s="11" t="n">
        <x:v>1</x:v>
      </x:c>
      <x:c r="J13" s="18" t="n">
        <x:v>29900</x:v>
      </x:c>
      <x:c r="K13" s="16" t="n">
        <x:v>0.05</x:v>
      </x:c>
      <x:c r="L13" s="18" t="n">
        <x:v>18500</x:v>
      </x:c>
      <x:c r="M13" s="11" t="str">
        <x:v>Efectivo</x:v>
      </x:c>
      <x:c r="N13" s="11" t="n">
        <x:v>52</x:v>
      </x:c>
      <x:c r="O13" s="11" t="str">
        <x:v>A tiempo</x:v>
      </x:c>
      <x:c r="P13" s="20" t="n">
        <x:v>5</x:v>
      </x:c>
      <x:c r="Q13" s="18" t="n">
        <x:f>I13*J13</x:f>
        <x:v>29900</x:v>
      </x:c>
      <x:c r="R13" s="18" t="n">
        <x:f>Q13*K13</x:f>
        <x:v>1495</x:v>
      </x:c>
      <x:c r="S13" s="18" t="n">
        <x:f>Q13-R13</x:f>
        <x:v>28405</x:v>
      </x:c>
      <x:c r="T13" s="18" t="n">
        <x:f>I13*L13</x:f>
        <x:v>18500</x:v>
      </x:c>
      <x:c r="U13" s="18" t="n">
        <x:f>S13-T13</x:f>
        <x:v>9905</x:v>
      </x:c>
    </x:row>
    <x:row r="14">
      <x:c r="A14" s="11" t="str">
        <x:v>V-0326</x:v>
      </x:c>
      <x:c r="B14" s="14" t="n">
        <x:v>46028</x:v>
      </x:c>
      <x:c r="C14" s="11" t="str">
        <x:v>Medellín</x:v>
      </x:c>
      <x:c r="D14" s="11" t="str">
        <x:v>Tienda</x:v>
      </x:c>
      <x:c r="E14" s="11" t="str">
        <x:v>Cuidado personal</x:v>
      </x:c>
      <x:c r="F14" s="11" t="str">
        <x:v>Accesorio personal</x:v>
      </x:c>
      <x:c r="G14" s="11" t="str">
        <x:v>C-0115</x:v>
      </x:c>
      <x:c r="H14" s="11" t="str">
        <x:v>Recurrente</x:v>
      </x:c>
      <x:c r="I14" s="11" t="n">
        <x:v>1</x:v>
      </x:c>
      <x:c r="J14" s="18" t="n">
        <x:v>19200</x:v>
      </x:c>
      <x:c r="K14" s="16" t="n">
        <x:v>0.1</x:v>
      </x:c>
      <x:c r="L14" s="18" t="n">
        <x:v>11000</x:v>
      </x:c>
      <x:c r="M14" s="11" t="str">
        <x:v>Tarjeta</x:v>
      </x:c>
      <x:c r="N14" s="11" t="n">
        <x:v>0</x:v>
      </x:c>
      <x:c r="O14" s="11" t="str">
        <x:v>No aplica</x:v>
      </x:c>
      <x:c r="P14" s="20" t="n">
        <x:v>5</x:v>
      </x:c>
      <x:c r="Q14" s="18" t="n">
        <x:f>I14*J14</x:f>
        <x:v>19200</x:v>
      </x:c>
      <x:c r="R14" s="18" t="n">
        <x:f>Q14*K14</x:f>
        <x:v>1920</x:v>
      </x:c>
      <x:c r="S14" s="18" t="n">
        <x:f>Q14-R14</x:f>
        <x:v>17280</x:v>
      </x:c>
      <x:c r="T14" s="18" t="n">
        <x:f>I14*L14</x:f>
        <x:v>11000</x:v>
      </x:c>
      <x:c r="U14" s="18" t="n">
        <x:f>S14-T14</x:f>
        <x:v>6280</x:v>
      </x:c>
    </x:row>
    <x:row r="15">
      <x:c r="A15" s="11" t="str">
        <x:v>V-0480</x:v>
      </x:c>
      <x:c r="B15" s="14" t="n">
        <x:v>46028</x:v>
      </x:c>
      <x:c r="C15" s="11" t="str">
        <x:v>Medellín</x:v>
      </x:c>
      <x:c r="D15" s="11" t="str">
        <x:v>Tienda</x:v>
      </x:c>
      <x:c r="E15" s="11" t="str">
        <x:v>Cuidado personal</x:v>
      </x:c>
      <x:c r="F15" s="11" t="str">
        <x:v>Kit cuidado</x:v>
      </x:c>
      <x:c r="G15" s="11" t="str">
        <x:v>C-0086</x:v>
      </x:c>
      <x:c r="H15" s="11" t="str">
        <x:v>Recurrente</x:v>
      </x:c>
      <x:c r="I15" s="11" t="n">
        <x:v>3</x:v>
      </x:c>
      <x:c r="J15" s="18" t="n">
        <x:v>45600</x:v>
      </x:c>
      <x:c r="K15" s="16" t="n">
        <x:v>0.05</x:v>
      </x:c>
      <x:c r="L15" s="18" t="n">
        <x:v>29100</x:v>
      </x:c>
      <x:c r="M15" s="11" t="str">
        <x:v>Efectivo</x:v>
      </x:c>
      <x:c r="N15" s="11" t="n">
        <x:v>0</x:v>
      </x:c>
      <x:c r="O15" s="11" t="str">
        <x:v>No aplica</x:v>
      </x:c>
      <x:c r="P15" s="20" t="n">
        <x:v>5</x:v>
      </x:c>
      <x:c r="Q15" s="18" t="n">
        <x:f>I15*J15</x:f>
        <x:v>136800</x:v>
      </x:c>
      <x:c r="R15" s="18" t="n">
        <x:f>Q15*K15</x:f>
        <x:v>6840</x:v>
      </x:c>
      <x:c r="S15" s="18" t="n">
        <x:f>Q15-R15</x:f>
        <x:v>129960</x:v>
      </x:c>
      <x:c r="T15" s="18" t="n">
        <x:f>I15*L15</x:f>
        <x:v>87300</x:v>
      </x:c>
      <x:c r="U15" s="18" t="n">
        <x:f>S15-T15</x:f>
        <x:v>42660</x:v>
      </x:c>
    </x:row>
    <x:row r="16">
      <x:c r="A16" s="11" t="str">
        <x:v>V-0070</x:v>
      </x:c>
      <x:c r="B16" s="14" t="n">
        <x:v>46029</x:v>
      </x:c>
      <x:c r="C16" s="11" t="str">
        <x:v>Ibagué</x:v>
      </x:c>
      <x:c r="D16" s="11" t="str">
        <x:v>Web</x:v>
      </x:c>
      <x:c r="E16" s="11" t="str">
        <x:v>Alimentos</x:v>
      </x:c>
      <x:c r="F16" s="11" t="str">
        <x:v>Producto gourmet</x:v>
      </x:c>
      <x:c r="G16" s="11" t="str">
        <x:v>C-0056</x:v>
      </x:c>
      <x:c r="H16" s="11" t="str">
        <x:v>Recurrente</x:v>
      </x:c>
      <x:c r="I16" s="11" t="n">
        <x:v>1</x:v>
      </x:c>
      <x:c r="J16" s="18" t="n">
        <x:v>33700</x:v>
      </x:c>
      <x:c r="K16" s="16" t="n">
        <x:v>0.05</x:v>
      </x:c>
      <x:c r="L16" s="18" t="n">
        <x:v>22600</x:v>
      </x:c>
      <x:c r="M16" s="11" t="str">
        <x:v>Tarjeta</x:v>
      </x:c>
      <x:c r="N16" s="11" t="n">
        <x:v>32</x:v>
      </x:c>
      <x:c r="O16" s="11" t="str">
        <x:v>A tiempo</x:v>
      </x:c>
      <x:c r="P16" s="20" t="n">
        <x:v>5</x:v>
      </x:c>
      <x:c r="Q16" s="18" t="n">
        <x:f>I16*J16</x:f>
        <x:v>33700</x:v>
      </x:c>
      <x:c r="R16" s="18" t="n">
        <x:f>Q16*K16</x:f>
        <x:v>1685</x:v>
      </x:c>
      <x:c r="S16" s="18" t="n">
        <x:f>Q16-R16</x:f>
        <x:v>32015</x:v>
      </x:c>
      <x:c r="T16" s="18" t="n">
        <x:f>I16*L16</x:f>
        <x:v>22600</x:v>
      </x:c>
      <x:c r="U16" s="18" t="n">
        <x:f>S16-T16</x:f>
        <x:v>9415</x:v>
      </x:c>
    </x:row>
    <x:row r="17">
      <x:c r="A17" s="11" t="str">
        <x:v>V-0323</x:v>
      </x:c>
      <x:c r="B17" s="14" t="n">
        <x:v>46029</x:v>
      </x:c>
      <x:c r="C17" s="11" t="str">
        <x:v>Cali</x:v>
      </x:c>
      <x:c r="D17" s="11" t="str">
        <x:v>Tienda</x:v>
      </x:c>
      <x:c r="E17" s="11" t="str">
        <x:v>Alimentos</x:v>
      </x:c>
      <x:c r="F17" s="11" t="str">
        <x:v>Snack saludable</x:v>
      </x:c>
      <x:c r="G17" s="11" t="str">
        <x:v>C-0014</x:v>
      </x:c>
      <x:c r="H17" s="11" t="str">
        <x:v>Nuevo</x:v>
      </x:c>
      <x:c r="I17" s="11" t="n">
        <x:v>3</x:v>
      </x:c>
      <x:c r="J17" s="18" t="n">
        <x:v>8400</x:v>
      </x:c>
      <x:c r="K17" s="16" t="n">
        <x:v>0.05</x:v>
      </x:c>
      <x:c r="L17" s="18" t="n">
        <x:v>4800</x:v>
      </x:c>
      <x:c r="M17" s="11" t="str">
        <x:v>Efectivo</x:v>
      </x:c>
      <x:c r="N17" s="11" t="n">
        <x:v>0</x:v>
      </x:c>
      <x:c r="O17" s="11" t="str">
        <x:v>No aplica</x:v>
      </x:c>
      <x:c r="P17" s="20" t="n">
        <x:v>5</x:v>
      </x:c>
      <x:c r="Q17" s="18" t="n">
        <x:f>I17*J17</x:f>
        <x:v>25200</x:v>
      </x:c>
      <x:c r="R17" s="18" t="n">
        <x:f>Q17*K17</x:f>
        <x:v>1260</x:v>
      </x:c>
      <x:c r="S17" s="18" t="n">
        <x:f>Q17-R17</x:f>
        <x:v>23940</x:v>
      </x:c>
      <x:c r="T17" s="18" t="n">
        <x:f>I17*L17</x:f>
        <x:v>14400</x:v>
      </x:c>
      <x:c r="U17" s="18" t="n">
        <x:f>S17-T17</x:f>
        <x:v>9540</x:v>
      </x:c>
    </x:row>
    <x:row r="18">
      <x:c r="A18" s="11" t="str">
        <x:v>V-0010</x:v>
      </x:c>
      <x:c r="B18" s="14" t="n">
        <x:v>46030</x:v>
      </x:c>
      <x:c r="C18" s="11" t="str">
        <x:v>Florencia</x:v>
      </x:c>
      <x:c r="D18" s="11" t="str">
        <x:v>Web</x:v>
      </x:c>
      <x:c r="E18" s="11" t="str">
        <x:v>Cuidado personal</x:v>
      </x:c>
      <x:c r="F18" s="11" t="str">
        <x:v>Producto bienestar</x:v>
      </x:c>
      <x:c r="G18" s="11" t="str">
        <x:v>C-0083</x:v>
      </x:c>
      <x:c r="H18" s="11" t="str">
        <x:v>Nuevo</x:v>
      </x:c>
      <x:c r="I18" s="11" t="n">
        <x:v>1</x:v>
      </x:c>
      <x:c r="J18" s="18" t="n">
        <x:v>34300</x:v>
      </x:c>
      <x:c r="K18" s="16" t="n">
        <x:v>0</x:v>
      </x:c>
      <x:c r="L18" s="18" t="n">
        <x:v>20700</x:v>
      </x:c>
      <x:c r="M18" s="11" t="str">
        <x:v>Tarjeta</x:v>
      </x:c>
      <x:c r="N18" s="11" t="n">
        <x:v>38</x:v>
      </x:c>
      <x:c r="O18" s="11" t="str">
        <x:v>A tiempo</x:v>
      </x:c>
      <x:c r="P18" s="20" t="n">
        <x:v>4</x:v>
      </x:c>
      <x:c r="Q18" s="18" t="n">
        <x:f>I18*J18</x:f>
        <x:v>34300</x:v>
      </x:c>
      <x:c r="R18" s="18" t="n">
        <x:f>Q18*K18</x:f>
        <x:v>0</x:v>
      </x:c>
      <x:c r="S18" s="18" t="n">
        <x:f>Q18-R18</x:f>
        <x:v>34300</x:v>
      </x:c>
      <x:c r="T18" s="18" t="n">
        <x:f>I18*L18</x:f>
        <x:v>20700</x:v>
      </x:c>
      <x:c r="U18" s="18" t="n">
        <x:f>S18-T18</x:f>
        <x:v>13600</x:v>
      </x:c>
    </x:row>
    <x:row r="19">
      <x:c r="A19" s="11" t="str">
        <x:v>V-0085</x:v>
      </x:c>
      <x:c r="B19" s="14" t="n">
        <x:v>46030</x:v>
      </x:c>
      <x:c r="C19" s="11" t="str">
        <x:v>Neiva</x:v>
      </x:c>
      <x:c r="D19" s="11" t="str">
        <x:v>Tienda</x:v>
      </x:c>
      <x:c r="E19" s="11" t="str">
        <x:v>Alimentos</x:v>
      </x:c>
      <x:c r="F19" s="11" t="str">
        <x:v>Producto gourmet</x:v>
      </x:c>
      <x:c r="G19" s="11" t="str">
        <x:v>C-0088</x:v>
      </x:c>
      <x:c r="H19" s="11" t="str">
        <x:v>Nuevo</x:v>
      </x:c>
      <x:c r="I19" s="11" t="n">
        <x:v>5</x:v>
      </x:c>
      <x:c r="J19" s="18" t="n">
        <x:v>30800</x:v>
      </x:c>
      <x:c r="K19" s="16" t="n">
        <x:v>0</x:v>
      </x:c>
      <x:c r="L19" s="18" t="n">
        <x:v>20000</x:v>
      </x:c>
      <x:c r="M19" s="11" t="str">
        <x:v>Efectivo</x:v>
      </x:c>
      <x:c r="N19" s="11" t="n">
        <x:v>0</x:v>
      </x:c>
      <x:c r="O19" s="11" t="str">
        <x:v>No aplica</x:v>
      </x:c>
      <x:c r="P19" s="20" t="n">
        <x:v>5</x:v>
      </x:c>
      <x:c r="Q19" s="18" t="n">
        <x:f>I19*J19</x:f>
        <x:v>154000</x:v>
      </x:c>
      <x:c r="R19" s="18" t="n">
        <x:f>Q19*K19</x:f>
        <x:v>0</x:v>
      </x:c>
      <x:c r="S19" s="18" t="n">
        <x:f>Q19-R19</x:f>
        <x:v>154000</x:v>
      </x:c>
      <x:c r="T19" s="18" t="n">
        <x:f>I19*L19</x:f>
        <x:v>100000</x:v>
      </x:c>
      <x:c r="U19" s="18" t="n">
        <x:f>S19-T19</x:f>
        <x:v>54000</x:v>
      </x:c>
    </x:row>
    <x:row r="20">
      <x:c r="A20" s="11" t="str">
        <x:v>V-0112</x:v>
      </x:c>
      <x:c r="B20" s="14" t="n">
        <x:v>46030</x:v>
      </x:c>
      <x:c r="C20" s="11" t="str">
        <x:v>Neiva</x:v>
      </x:c>
      <x:c r="D20" s="11" t="str">
        <x:v>Tienda</x:v>
      </x:c>
      <x:c r="E20" s="11" t="str">
        <x:v>Hogar</x:v>
      </x:c>
      <x:c r="F20" s="11" t="str">
        <x:v>Accesorio hogar</x:v>
      </x:c>
      <x:c r="G20" s="11" t="str">
        <x:v>C-0107</x:v>
      </x:c>
      <x:c r="H20" s="11" t="str">
        <x:v>Nuevo</x:v>
      </x:c>
      <x:c r="I20" s="11" t="n">
        <x:v>5</x:v>
      </x:c>
      <x:c r="J20" s="18" t="n">
        <x:v>25400</x:v>
      </x:c>
      <x:c r="K20" s="16" t="n">
        <x:v>0</x:v>
      </x:c>
      <x:c r="L20" s="18" t="n">
        <x:v>16100</x:v>
      </x:c>
      <x:c r="M20" s="11" t="str">
        <x:v>Transferencia</x:v>
      </x:c>
      <x:c r="N20" s="11" t="n">
        <x:v>0</x:v>
      </x:c>
      <x:c r="O20" s="11" t="str">
        <x:v>No aplica</x:v>
      </x:c>
      <x:c r="P20" s="20" t="n">
        <x:v>4</x:v>
      </x:c>
      <x:c r="Q20" s="18" t="n">
        <x:f>I20*J20</x:f>
        <x:v>127000</x:v>
      </x:c>
      <x:c r="R20" s="18" t="n">
        <x:f>Q20*K20</x:f>
        <x:v>0</x:v>
      </x:c>
      <x:c r="S20" s="18" t="n">
        <x:f>Q20-R20</x:f>
        <x:v>127000</x:v>
      </x:c>
      <x:c r="T20" s="18" t="n">
        <x:f>I20*L20</x:f>
        <x:v>80500</x:v>
      </x:c>
      <x:c r="U20" s="18" t="n">
        <x:f>S20-T20</x:f>
        <x:v>46500</x:v>
      </x:c>
    </x:row>
    <x:row r="21">
      <x:c r="A21" s="11" t="str">
        <x:v>V-0377</x:v>
      </x:c>
      <x:c r="B21" s="14" t="n">
        <x:v>46030</x:v>
      </x:c>
      <x:c r="C21" s="11" t="str">
        <x:v>Medellín</x:v>
      </x:c>
      <x:c r="D21" s="11" t="str">
        <x:v>Web</x:v>
      </x:c>
      <x:c r="E21" s="11" t="str">
        <x:v>Bebidas</x:v>
      </x:c>
      <x:c r="F21" s="11" t="str">
        <x:v>Bebida premium</x:v>
      </x:c>
      <x:c r="G21" s="11" t="str">
        <x:v>C-0015</x:v>
      </x:c>
      <x:c r="H21" s="11" t="str">
        <x:v>Recurrente</x:v>
      </x:c>
      <x:c r="I21" s="11" t="n">
        <x:v>1</x:v>
      </x:c>
      <x:c r="J21" s="18" t="n">
        <x:v>15400</x:v>
      </x:c>
      <x:c r="K21" s="16" t="n">
        <x:v>0</x:v>
      </x:c>
      <x:c r="L21" s="18" t="n">
        <x:v>8700</x:v>
      </x:c>
      <x:c r="M21" s="11" t="str">
        <x:v>Tarjeta</x:v>
      </x:c>
      <x:c r="N21" s="11" t="n">
        <x:v>81</x:v>
      </x:c>
      <x:c r="O21" s="11" t="str">
        <x:v>Tardía</x:v>
      </x:c>
      <x:c r="P21" s="20" t="n">
        <x:v>3</x:v>
      </x:c>
      <x:c r="Q21" s="18" t="n">
        <x:f>I21*J21</x:f>
        <x:v>15400</x:v>
      </x:c>
      <x:c r="R21" s="18" t="n">
        <x:f>Q21*K21</x:f>
        <x:v>0</x:v>
      </x:c>
      <x:c r="S21" s="18" t="n">
        <x:f>Q21-R21</x:f>
        <x:v>15400</x:v>
      </x:c>
      <x:c r="T21" s="18" t="n">
        <x:f>I21*L21</x:f>
        <x:v>8700</x:v>
      </x:c>
      <x:c r="U21" s="18" t="n">
        <x:f>S21-T21</x:f>
        <x:v>6700</x:v>
      </x:c>
    </x:row>
    <x:row r="22">
      <x:c r="A22" s="11" t="str">
        <x:v>V-0046</x:v>
      </x:c>
      <x:c r="B22" s="14" t="n">
        <x:v>46032</x:v>
      </x:c>
      <x:c r="C22" s="11" t="str">
        <x:v>Cali</x:v>
      </x:c>
      <x:c r="D22" s="11" t="str">
        <x:v>Tienda</x:v>
      </x:c>
      <x:c r="E22" s="11" t="str">
        <x:v>Bebidas</x:v>
      </x:c>
      <x:c r="F22" s="11" t="str">
        <x:v>Bebida fría</x:v>
      </x:c>
      <x:c r="G22" s="11" t="str">
        <x:v>C-0025</x:v>
      </x:c>
      <x:c r="H22" s="11" t="str">
        <x:v>Recurrente</x:v>
      </x:c>
      <x:c r="I22" s="11" t="n">
        <x:v>2</x:v>
      </x:c>
      <x:c r="J22" s="18" t="n">
        <x:v>6400</x:v>
      </x:c>
      <x:c r="K22" s="16" t="n">
        <x:v>0.05</x:v>
      </x:c>
      <x:c r="L22" s="18" t="n">
        <x:v>3300</x:v>
      </x:c>
      <x:c r="M22" s="11" t="str">
        <x:v>Efectivo</x:v>
      </x:c>
      <x:c r="N22" s="11" t="n">
        <x:v>0</x:v>
      </x:c>
      <x:c r="O22" s="11" t="str">
        <x:v>No aplica</x:v>
      </x:c>
      <x:c r="P22" s="20" t="n">
        <x:v>5</x:v>
      </x:c>
      <x:c r="Q22" s="18" t="n">
        <x:f>I22*J22</x:f>
        <x:v>12800</x:v>
      </x:c>
      <x:c r="R22" s="18" t="n">
        <x:f>Q22*K22</x:f>
        <x:v>640</x:v>
      </x:c>
      <x:c r="S22" s="18" t="n">
        <x:f>Q22-R22</x:f>
        <x:v>12160</x:v>
      </x:c>
      <x:c r="T22" s="18" t="n">
        <x:f>I22*L22</x:f>
        <x:v>6600</x:v>
      </x:c>
      <x:c r="U22" s="18" t="n">
        <x:f>S22-T22</x:f>
        <x:v>5560</x:v>
      </x:c>
    </x:row>
    <x:row r="23">
      <x:c r="A23" s="11" t="str">
        <x:v>V-0452</x:v>
      </x:c>
      <x:c r="B23" s="14" t="n">
        <x:v>46032</x:v>
      </x:c>
      <x:c r="C23" s="11" t="str">
        <x:v>Bogotá</x:v>
      </x:c>
      <x:c r="D23" s="11" t="str">
        <x:v>Tienda</x:v>
      </x:c>
      <x:c r="E23" s="11" t="str">
        <x:v>Cuidado personal</x:v>
      </x:c>
      <x:c r="F23" s="11" t="str">
        <x:v>Producto bienestar</x:v>
      </x:c>
      <x:c r="G23" s="11" t="str">
        <x:v>C-0102</x:v>
      </x:c>
      <x:c r="H23" s="11" t="str">
        <x:v>Recurrente</x:v>
      </x:c>
      <x:c r="I23" s="11" t="n">
        <x:v>1</x:v>
      </x:c>
      <x:c r="J23" s="18" t="n">
        <x:v>34700</x:v>
      </x:c>
      <x:c r="K23" s="16" t="n">
        <x:v>0.15</x:v>
      </x:c>
      <x:c r="L23" s="18" t="n">
        <x:v>19800</x:v>
      </x:c>
      <x:c r="M23" s="11" t="str">
        <x:v>Efectivo</x:v>
      </x:c>
      <x:c r="N23" s="11" t="n">
        <x:v>0</x:v>
      </x:c>
      <x:c r="O23" s="11" t="str">
        <x:v>No aplica</x:v>
      </x:c>
      <x:c r="P23" s="20" t="n">
        <x:v>3</x:v>
      </x:c>
      <x:c r="Q23" s="18" t="n">
        <x:f>I23*J23</x:f>
        <x:v>34700</x:v>
      </x:c>
      <x:c r="R23" s="18" t="n">
        <x:f>Q23*K23</x:f>
        <x:v>5205</x:v>
      </x:c>
      <x:c r="S23" s="18" t="n">
        <x:f>Q23-R23</x:f>
        <x:v>29495</x:v>
      </x:c>
      <x:c r="T23" s="18" t="n">
        <x:f>I23*L23</x:f>
        <x:v>19800</x:v>
      </x:c>
      <x:c r="U23" s="18" t="n">
        <x:f>S23-T23</x:f>
        <x:v>9695</x:v>
      </x:c>
    </x:row>
    <x:row r="24">
      <x:c r="A24" s="11" t="str">
        <x:v>V-0203</x:v>
      </x:c>
      <x:c r="B24" s="14" t="n">
        <x:v>46035</x:v>
      </x:c>
      <x:c r="C24" s="11" t="str">
        <x:v>Medellín</x:v>
      </x:c>
      <x:c r="D24" s="11" t="str">
        <x:v>Web</x:v>
      </x:c>
      <x:c r="E24" s="11" t="str">
        <x:v>Alimentos</x:v>
      </x:c>
      <x:c r="F24" s="11" t="str">
        <x:v>Producto gourmet</x:v>
      </x:c>
      <x:c r="G24" s="11" t="str">
        <x:v>C-0071</x:v>
      </x:c>
      <x:c r="H24" s="11" t="str">
        <x:v>Recurrente</x:v>
      </x:c>
      <x:c r="I24" s="11" t="n">
        <x:v>2</x:v>
      </x:c>
      <x:c r="J24" s="18" t="n">
        <x:v>33500</x:v>
      </x:c>
      <x:c r="K24" s="16" t="n">
        <x:v>0.2</x:v>
      </x:c>
      <x:c r="L24" s="18" t="n">
        <x:v>20400</x:v>
      </x:c>
      <x:c r="M24" s="11" t="str">
        <x:v>Billetera digital</x:v>
      </x:c>
      <x:c r="N24" s="11" t="n">
        <x:v>70</x:v>
      </x:c>
      <x:c r="O24" s="11" t="str">
        <x:v>Tardía</x:v>
      </x:c>
      <x:c r="P24" s="20" t="n">
        <x:v>5</x:v>
      </x:c>
      <x:c r="Q24" s="18" t="n">
        <x:f>I24*J24</x:f>
        <x:v>67000</x:v>
      </x:c>
      <x:c r="R24" s="18" t="n">
        <x:f>Q24*K24</x:f>
        <x:v>13400</x:v>
      </x:c>
      <x:c r="S24" s="18" t="n">
        <x:f>Q24-R24</x:f>
        <x:v>53600</x:v>
      </x:c>
      <x:c r="T24" s="18" t="n">
        <x:f>I24*L24</x:f>
        <x:v>40800</x:v>
      </x:c>
      <x:c r="U24" s="18" t="n">
        <x:f>S24-T24</x:f>
        <x:v>12800</x:v>
      </x:c>
    </x:row>
    <x:row r="25">
      <x:c r="A25" s="11" t="str">
        <x:v>V-0426</x:v>
      </x:c>
      <x:c r="B25" s="14" t="n">
        <x:v>46035</x:v>
      </x:c>
      <x:c r="C25" s="11" t="str">
        <x:v>Medellín</x:v>
      </x:c>
      <x:c r="D25" s="11" t="str">
        <x:v>App</x:v>
      </x:c>
      <x:c r="E25" s="11" t="str">
        <x:v>Cuidado personal</x:v>
      </x:c>
      <x:c r="F25" s="11" t="str">
        <x:v>Accesorio personal</x:v>
      </x:c>
      <x:c r="G25" s="11" t="str">
        <x:v>C-0096</x:v>
      </x:c>
      <x:c r="H25" s="11" t="str">
        <x:v>Recurrente</x:v>
      </x:c>
      <x:c r="I25" s="11" t="n">
        <x:v>3</x:v>
      </x:c>
      <x:c r="J25" s="18" t="n">
        <x:v>19900</x:v>
      </x:c>
      <x:c r="K25" s="16" t="n">
        <x:v>0.05</x:v>
      </x:c>
      <x:c r="L25" s="18" t="n">
        <x:v>11300</x:v>
      </x:c>
      <x:c r="M25" s="11" t="str">
        <x:v>Transferencia</x:v>
      </x:c>
      <x:c r="N25" s="11" t="n">
        <x:v>50</x:v>
      </x:c>
      <x:c r="O25" s="11" t="str">
        <x:v>A tiempo</x:v>
      </x:c>
      <x:c r="P25" s="20" t="n">
        <x:v>4</x:v>
      </x:c>
      <x:c r="Q25" s="18" t="n">
        <x:f>I25*J25</x:f>
        <x:v>59700</x:v>
      </x:c>
      <x:c r="R25" s="18" t="n">
        <x:f>Q25*K25</x:f>
        <x:v>2985</x:v>
      </x:c>
      <x:c r="S25" s="18" t="n">
        <x:f>Q25-R25</x:f>
        <x:v>56715</x:v>
      </x:c>
      <x:c r="T25" s="18" t="n">
        <x:f>I25*L25</x:f>
        <x:v>33900</x:v>
      </x:c>
      <x:c r="U25" s="18" t="n">
        <x:f>S25-T25</x:f>
        <x:v>22815</x:v>
      </x:c>
    </x:row>
    <x:row r="26">
      <x:c r="A26" s="11" t="str">
        <x:v>V-0047</x:v>
      </x:c>
      <x:c r="B26" s="14" t="n">
        <x:v>46036</x:v>
      </x:c>
      <x:c r="C26" s="11" t="str">
        <x:v>Bogotá</x:v>
      </x:c>
      <x:c r="D26" s="11" t="str">
        <x:v>Tienda</x:v>
      </x:c>
      <x:c r="E26" s="11" t="str">
        <x:v>Alimentos</x:v>
      </x:c>
      <x:c r="F26" s="11" t="str">
        <x:v>Combo almuerzo</x:v>
      </x:c>
      <x:c r="G26" s="11" t="str">
        <x:v>C-0006</x:v>
      </x:c>
      <x:c r="H26" s="11" t="str">
        <x:v>Nuevo</x:v>
      </x:c>
      <x:c r="I26" s="11" t="n">
        <x:v>1</x:v>
      </x:c>
      <x:c r="J26" s="18" t="n">
        <x:v>24300</x:v>
      </x:c>
      <x:c r="K26" s="16" t="n">
        <x:v>0.15</x:v>
      </x:c>
      <x:c r="L26" s="18" t="n">
        <x:v>14000</x:v>
      </x:c>
      <x:c r="M26" s="11" t="str">
        <x:v>Tarjeta</x:v>
      </x:c>
      <x:c r="N26" s="11" t="n">
        <x:v>0</x:v>
      </x:c>
      <x:c r="O26" s="11" t="str">
        <x:v>No aplica</x:v>
      </x:c>
      <x:c r="P26" s="20" t="n">
        <x:v>5</x:v>
      </x:c>
      <x:c r="Q26" s="18" t="n">
        <x:f>I26*J26</x:f>
        <x:v>24300</x:v>
      </x:c>
      <x:c r="R26" s="18" t="n">
        <x:f>Q26*K26</x:f>
        <x:v>3645</x:v>
      </x:c>
      <x:c r="S26" s="18" t="n">
        <x:f>Q26-R26</x:f>
        <x:v>20655</x:v>
      </x:c>
      <x:c r="T26" s="18" t="n">
        <x:f>I26*L26</x:f>
        <x:v>14000</x:v>
      </x:c>
      <x:c r="U26" s="18" t="n">
        <x:f>S26-T26</x:f>
        <x:v>6655</x:v>
      </x:c>
    </x:row>
    <x:row r="27">
      <x:c r="A27" s="11" t="str">
        <x:v>V-0286</x:v>
      </x:c>
      <x:c r="B27" s="14" t="n">
        <x:v>46036</x:v>
      </x:c>
      <x:c r="C27" s="11" t="str">
        <x:v>Neiva</x:v>
      </x:c>
      <x:c r="D27" s="11" t="str">
        <x:v>Web</x:v>
      </x:c>
      <x:c r="E27" s="11" t="str">
        <x:v>Bebidas</x:v>
      </x:c>
      <x:c r="F27" s="11" t="str">
        <x:v>Bebida fría</x:v>
      </x:c>
      <x:c r="G27" s="11" t="str">
        <x:v>C-0017</x:v>
      </x:c>
      <x:c r="H27" s="11" t="str">
        <x:v>Nuevo</x:v>
      </x:c>
      <x:c r="I27" s="11" t="n">
        <x:v>3</x:v>
      </x:c>
      <x:c r="J27" s="18" t="n">
        <x:v>6700</x:v>
      </x:c>
      <x:c r="K27" s="16" t="n">
        <x:v>0.1</x:v>
      </x:c>
      <x:c r="L27" s="18" t="n">
        <x:v>3500</x:v>
      </x:c>
      <x:c r="M27" s="11" t="str">
        <x:v>Transferencia</x:v>
      </x:c>
      <x:c r="N27" s="11" t="n">
        <x:v>44</x:v>
      </x:c>
      <x:c r="O27" s="11" t="str">
        <x:v>A tiempo</x:v>
      </x:c>
      <x:c r="P27" s="20" t="n">
        <x:v>5</x:v>
      </x:c>
      <x:c r="Q27" s="18" t="n">
        <x:f>I27*J27</x:f>
        <x:v>20100</x:v>
      </x:c>
      <x:c r="R27" s="18" t="n">
        <x:f>Q27*K27</x:f>
        <x:v>2010</x:v>
      </x:c>
      <x:c r="S27" s="18" t="n">
        <x:f>Q27-R27</x:f>
        <x:v>18090</x:v>
      </x:c>
      <x:c r="T27" s="18" t="n">
        <x:f>I27*L27</x:f>
        <x:v>10500</x:v>
      </x:c>
      <x:c r="U27" s="18" t="n">
        <x:f>S27-T27</x:f>
        <x:v>7590</x:v>
      </x:c>
    </x:row>
    <x:row r="28">
      <x:c r="A28" s="11" t="str">
        <x:v>V-0446</x:v>
      </x:c>
      <x:c r="B28" s="14" t="n">
        <x:v>46037</x:v>
      </x:c>
      <x:c r="C28" s="11" t="str">
        <x:v>Neiva</x:v>
      </x:c>
      <x:c r="D28" s="11" t="str">
        <x:v>Web</x:v>
      </x:c>
      <x:c r="E28" s="11" t="str">
        <x:v>Hogar</x:v>
      </x:c>
      <x:c r="F28" s="11" t="str">
        <x:v>Organizador</x:v>
      </x:c>
      <x:c r="G28" s="11" t="str">
        <x:v>C-0113</x:v>
      </x:c>
      <x:c r="H28" s="11" t="str">
        <x:v>Recurrente</x:v>
      </x:c>
      <x:c r="I28" s="11" t="n">
        <x:v>2</x:v>
      </x:c>
      <x:c r="J28" s="18" t="n">
        <x:v>38200</x:v>
      </x:c>
      <x:c r="K28" s="16" t="n">
        <x:v>0</x:v>
      </x:c>
      <x:c r="L28" s="18" t="n">
        <x:v>22300</x:v>
      </x:c>
      <x:c r="M28" s="11" t="str">
        <x:v>Billetera digital</x:v>
      </x:c>
      <x:c r="N28" s="11" t="n">
        <x:v>28</x:v>
      </x:c>
      <x:c r="O28" s="11" t="str">
        <x:v>A tiempo</x:v>
      </x:c>
      <x:c r="P28" s="20" t="n">
        <x:v>5</x:v>
      </x:c>
      <x:c r="Q28" s="18" t="n">
        <x:f>I28*J28</x:f>
        <x:v>76400</x:v>
      </x:c>
      <x:c r="R28" s="18" t="n">
        <x:f>Q28*K28</x:f>
        <x:v>0</x:v>
      </x:c>
      <x:c r="S28" s="18" t="n">
        <x:f>Q28-R28</x:f>
        <x:v>76400</x:v>
      </x:c>
      <x:c r="T28" s="18" t="n">
        <x:f>I28*L28</x:f>
        <x:v>44600</x:v>
      </x:c>
      <x:c r="U28" s="18" t="n">
        <x:f>S28-T28</x:f>
        <x:v>31800</x:v>
      </x:c>
    </x:row>
    <x:row r="29">
      <x:c r="A29" s="11" t="str">
        <x:v>V-0465</x:v>
      </x:c>
      <x:c r="B29" s="14" t="n">
        <x:v>46037</x:v>
      </x:c>
      <x:c r="C29" s="11" t="str">
        <x:v>Ibagué</x:v>
      </x:c>
      <x:c r="D29" s="11" t="str">
        <x:v>App</x:v>
      </x:c>
      <x:c r="E29" s="11" t="str">
        <x:v>Alimentos</x:v>
      </x:c>
      <x:c r="F29" s="11" t="str">
        <x:v>Combo almuerzo</x:v>
      </x:c>
      <x:c r="G29" s="11" t="str">
        <x:v>C-0063</x:v>
      </x:c>
      <x:c r="H29" s="11" t="str">
        <x:v>Recurrente</x:v>
      </x:c>
      <x:c r="I29" s="11" t="n">
        <x:v>6</x:v>
      </x:c>
      <x:c r="J29" s="18" t="n">
        <x:v>23900</x:v>
      </x:c>
      <x:c r="K29" s="16" t="n">
        <x:v>0.05</x:v>
      </x:c>
      <x:c r="L29" s="18" t="n">
        <x:v>14000</x:v>
      </x:c>
      <x:c r="M29" s="11" t="str">
        <x:v>Efectivo</x:v>
      </x:c>
      <x:c r="N29" s="11" t="n">
        <x:v>56</x:v>
      </x:c>
      <x:c r="O29" s="11" t="str">
        <x:v>A tiempo</x:v>
      </x:c>
      <x:c r="P29" s="20" t="n">
        <x:v>4</x:v>
      </x:c>
      <x:c r="Q29" s="18" t="n">
        <x:f>I29*J29</x:f>
        <x:v>143400</x:v>
      </x:c>
      <x:c r="R29" s="18" t="n">
        <x:f>Q29*K29</x:f>
        <x:v>7170</x:v>
      </x:c>
      <x:c r="S29" s="18" t="n">
        <x:f>Q29-R29</x:f>
        <x:v>136230</x:v>
      </x:c>
      <x:c r="T29" s="18" t="n">
        <x:f>I29*L29</x:f>
        <x:v>84000</x:v>
      </x:c>
      <x:c r="U29" s="18" t="n">
        <x:f>S29-T29</x:f>
        <x:v>52230</x:v>
      </x:c>
    </x:row>
    <x:row r="30">
      <x:c r="A30" s="11" t="str">
        <x:v>V-0124</x:v>
      </x:c>
      <x:c r="B30" s="14" t="n">
        <x:v>46038</x:v>
      </x:c>
      <x:c r="C30" s="11" t="str">
        <x:v>Neiva</x:v>
      </x:c>
      <x:c r="D30" s="11" t="str">
        <x:v>App</x:v>
      </x:c>
      <x:c r="E30" s="11" t="str">
        <x:v>Cuidado personal</x:v>
      </x:c>
      <x:c r="F30" s="11" t="str">
        <x:v>Kit cuidado</x:v>
      </x:c>
      <x:c r="G30" s="11" t="str">
        <x:v>C-0009</x:v>
      </x:c>
      <x:c r="H30" s="11" t="str">
        <x:v>Recurrente</x:v>
      </x:c>
      <x:c r="I30" s="11" t="n">
        <x:v>2</x:v>
      </x:c>
      <x:c r="J30" s="18" t="n">
        <x:v>43500</x:v>
      </x:c>
      <x:c r="K30" s="16" t="n">
        <x:v>0</x:v>
      </x:c>
      <x:c r="L30" s="18" t="n">
        <x:v>26900</x:v>
      </x:c>
      <x:c r="M30" s="11" t="str">
        <x:v>Tarjeta</x:v>
      </x:c>
      <x:c r="N30" s="11" t="n">
        <x:v>52</x:v>
      </x:c>
      <x:c r="O30" s="11" t="str">
        <x:v>A tiempo</x:v>
      </x:c>
      <x:c r="P30" s="20" t="n">
        <x:v>5</x:v>
      </x:c>
      <x:c r="Q30" s="18" t="n">
        <x:f>I30*J30</x:f>
        <x:v>87000</x:v>
      </x:c>
      <x:c r="R30" s="18" t="n">
        <x:f>Q30*K30</x:f>
        <x:v>0</x:v>
      </x:c>
      <x:c r="S30" s="18" t="n">
        <x:f>Q30-R30</x:f>
        <x:v>87000</x:v>
      </x:c>
      <x:c r="T30" s="18" t="n">
        <x:f>I30*L30</x:f>
        <x:v>53800</x:v>
      </x:c>
      <x:c r="U30" s="18" t="n">
        <x:f>S30-T30</x:f>
        <x:v>33200</x:v>
      </x:c>
    </x:row>
    <x:row r="31">
      <x:c r="A31" s="11" t="str">
        <x:v>V-0132</x:v>
      </x:c>
      <x:c r="B31" s="14" t="n">
        <x:v>46038</x:v>
      </x:c>
      <x:c r="C31" s="11" t="str">
        <x:v>Bogotá</x:v>
      </x:c>
      <x:c r="D31" s="11" t="str">
        <x:v>Tienda</x:v>
      </x:c>
      <x:c r="E31" s="11" t="str">
        <x:v>Cuidado personal</x:v>
      </x:c>
      <x:c r="F31" s="11" t="str">
        <x:v>Accesorio personal</x:v>
      </x:c>
      <x:c r="G31" s="11" t="str">
        <x:v>C-0077</x:v>
      </x:c>
      <x:c r="H31" s="11" t="str">
        <x:v>Recurrente</x:v>
      </x:c>
      <x:c r="I31" s="11" t="n">
        <x:v>2</x:v>
      </x:c>
      <x:c r="J31" s="18" t="n">
        <x:v>19500</x:v>
      </x:c>
      <x:c r="K31" s="16" t="n">
        <x:v>0</x:v>
      </x:c>
      <x:c r="L31" s="18" t="n">
        <x:v>10500</x:v>
      </x:c>
      <x:c r="M31" s="11" t="str">
        <x:v>Transferencia</x:v>
      </x:c>
      <x:c r="N31" s="11" t="n">
        <x:v>0</x:v>
      </x:c>
      <x:c r="O31" s="11" t="str">
        <x:v>No aplica</x:v>
      </x:c>
      <x:c r="P31" s="20" t="n">
        <x:v>5</x:v>
      </x:c>
      <x:c r="Q31" s="18" t="n">
        <x:f>I31*J31</x:f>
        <x:v>39000</x:v>
      </x:c>
      <x:c r="R31" s="18" t="n">
        <x:f>Q31*K31</x:f>
        <x:v>0</x:v>
      </x:c>
      <x:c r="S31" s="18" t="n">
        <x:f>Q31-R31</x:f>
        <x:v>39000</x:v>
      </x:c>
      <x:c r="T31" s="18" t="n">
        <x:f>I31*L31</x:f>
        <x:v>21000</x:v>
      </x:c>
      <x:c r="U31" s="18" t="n">
        <x:f>S31-T31</x:f>
        <x:v>18000</x:v>
      </x:c>
    </x:row>
    <x:row r="32">
      <x:c r="A32" s="11" t="str">
        <x:v>V-0288</x:v>
      </x:c>
      <x:c r="B32" s="14" t="n">
        <x:v>46038</x:v>
      </x:c>
      <x:c r="C32" s="11" t="str">
        <x:v>Neiva</x:v>
      </x:c>
      <x:c r="D32" s="11" t="str">
        <x:v>Web</x:v>
      </x:c>
      <x:c r="E32" s="11" t="str">
        <x:v>Hogar</x:v>
      </x:c>
      <x:c r="F32" s="11" t="str">
        <x:v>Accesorio hogar</x:v>
      </x:c>
      <x:c r="G32" s="11" t="str">
        <x:v>C-0088</x:v>
      </x:c>
      <x:c r="H32" s="11" t="str">
        <x:v>Recurrente</x:v>
      </x:c>
      <x:c r="I32" s="11" t="n">
        <x:v>5</x:v>
      </x:c>
      <x:c r="J32" s="18" t="n">
        <x:v>30800</x:v>
      </x:c>
      <x:c r="K32" s="16" t="n">
        <x:v>0.05</x:v>
      </x:c>
      <x:c r="L32" s="18" t="n">
        <x:v>19800</x:v>
      </x:c>
      <x:c r="M32" s="11" t="str">
        <x:v>Tarjeta</x:v>
      </x:c>
      <x:c r="N32" s="11" t="n">
        <x:v>38</x:v>
      </x:c>
      <x:c r="O32" s="11" t="str">
        <x:v>A tiempo</x:v>
      </x:c>
      <x:c r="P32" s="20" t="n">
        <x:v>4</x:v>
      </x:c>
      <x:c r="Q32" s="18" t="n">
        <x:f>I32*J32</x:f>
        <x:v>154000</x:v>
      </x:c>
      <x:c r="R32" s="18" t="n">
        <x:f>Q32*K32</x:f>
        <x:v>7700</x:v>
      </x:c>
      <x:c r="S32" s="18" t="n">
        <x:f>Q32-R32</x:f>
        <x:v>146300</x:v>
      </x:c>
      <x:c r="T32" s="18" t="n">
        <x:f>I32*L32</x:f>
        <x:v>99000</x:v>
      </x:c>
      <x:c r="U32" s="18" t="n">
        <x:f>S32-T32</x:f>
        <x:v>47300</x:v>
      </x:c>
    </x:row>
    <x:row r="33">
      <x:c r="A33" s="11" t="str">
        <x:v>V-0476</x:v>
      </x:c>
      <x:c r="B33" s="14" t="n">
        <x:v>46038</x:v>
      </x:c>
      <x:c r="C33" s="11" t="str">
        <x:v>Neiva</x:v>
      </x:c>
      <x:c r="D33" s="11" t="str">
        <x:v>Web</x:v>
      </x:c>
      <x:c r="E33" s="11" t="str">
        <x:v>Hogar</x:v>
      </x:c>
      <x:c r="F33" s="11" t="str">
        <x:v>Accesorio hogar</x:v>
      </x:c>
      <x:c r="G33" s="11" t="str">
        <x:v>C-0067</x:v>
      </x:c>
      <x:c r="H33" s="11" t="str">
        <x:v>Recurrente</x:v>
      </x:c>
      <x:c r="I33" s="11" t="n">
        <x:v>2</x:v>
      </x:c>
      <x:c r="J33" s="18" t="n">
        <x:v>25700</x:v>
      </x:c>
      <x:c r="K33" s="16" t="n">
        <x:v>0.05</x:v>
      </x:c>
      <x:c r="L33" s="18" t="n">
        <x:v>16800</x:v>
      </x:c>
      <x:c r="M33" s="11" t="str">
        <x:v>Billetera digital</x:v>
      </x:c>
      <x:c r="N33" s="11" t="n">
        <x:v>34</x:v>
      </x:c>
      <x:c r="O33" s="11" t="str">
        <x:v>A tiempo</x:v>
      </x:c>
      <x:c r="P33" s="20" t="n">
        <x:v>5</x:v>
      </x:c>
      <x:c r="Q33" s="18" t="n">
        <x:f>I33*J33</x:f>
        <x:v>51400</x:v>
      </x:c>
      <x:c r="R33" s="18" t="n">
        <x:f>Q33*K33</x:f>
        <x:v>2570</x:v>
      </x:c>
      <x:c r="S33" s="18" t="n">
        <x:f>Q33-R33</x:f>
        <x:v>48830</x:v>
      </x:c>
      <x:c r="T33" s="18" t="n">
        <x:f>I33*L33</x:f>
        <x:v>33600</x:v>
      </x:c>
      <x:c r="U33" s="18" t="n">
        <x:f>S33-T33</x:f>
        <x:v>15230</x:v>
      </x:c>
    </x:row>
    <x:row r="34">
      <x:c r="A34" s="11" t="str">
        <x:v>V-0059</x:v>
      </x:c>
      <x:c r="B34" s="14" t="n">
        <x:v>46039</x:v>
      </x:c>
      <x:c r="C34" s="11" t="str">
        <x:v>Neiva</x:v>
      </x:c>
      <x:c r="D34" s="11" t="str">
        <x:v>Tienda</x:v>
      </x:c>
      <x:c r="E34" s="11" t="str">
        <x:v>Hogar</x:v>
      </x:c>
      <x:c r="F34" s="11" t="str">
        <x:v>Accesorio hogar</x:v>
      </x:c>
      <x:c r="G34" s="11" t="str">
        <x:v>C-0028</x:v>
      </x:c>
      <x:c r="H34" s="11" t="str">
        <x:v>Recurrente</x:v>
      </x:c>
      <x:c r="I34" s="11" t="n">
        <x:v>1</x:v>
      </x:c>
      <x:c r="J34" s="18" t="n">
        <x:v>29800</x:v>
      </x:c>
      <x:c r="K34" s="16" t="n">
        <x:v>0</x:v>
      </x:c>
      <x:c r="L34" s="18" t="n">
        <x:v>19700</x:v>
      </x:c>
      <x:c r="M34" s="11" t="str">
        <x:v>Billetera digital</x:v>
      </x:c>
      <x:c r="N34" s="11" t="n">
        <x:v>0</x:v>
      </x:c>
      <x:c r="O34" s="11" t="str">
        <x:v>No aplica</x:v>
      </x:c>
      <x:c r="P34" s="20" t="n">
        <x:v>5</x:v>
      </x:c>
      <x:c r="Q34" s="18" t="n">
        <x:f>I34*J34</x:f>
        <x:v>29800</x:v>
      </x:c>
      <x:c r="R34" s="18" t="n">
        <x:f>Q34*K34</x:f>
        <x:v>0</x:v>
      </x:c>
      <x:c r="S34" s="18" t="n">
        <x:f>Q34-R34</x:f>
        <x:v>29800</x:v>
      </x:c>
      <x:c r="T34" s="18" t="n">
        <x:f>I34*L34</x:f>
        <x:v>19700</x:v>
      </x:c>
      <x:c r="U34" s="18" t="n">
        <x:f>S34-T34</x:f>
        <x:v>10100</x:v>
      </x:c>
    </x:row>
    <x:row r="35">
      <x:c r="A35" s="11" t="str">
        <x:v>V-0183</x:v>
      </x:c>
      <x:c r="B35" s="14" t="n">
        <x:v>46039</x:v>
      </x:c>
      <x:c r="C35" s="11" t="str">
        <x:v>Ibagué</x:v>
      </x:c>
      <x:c r="D35" s="11" t="str">
        <x:v>Web</x:v>
      </x:c>
      <x:c r="E35" s="11" t="str">
        <x:v>Hogar</x:v>
      </x:c>
      <x:c r="F35" s="11" t="str">
        <x:v>Kit limpieza</x:v>
      </x:c>
      <x:c r="G35" s="11" t="str">
        <x:v>C-0034</x:v>
      </x:c>
      <x:c r="H35" s="11" t="str">
        <x:v>Recurrente</x:v>
      </x:c>
      <x:c r="I35" s="11" t="n">
        <x:v>1</x:v>
      </x:c>
      <x:c r="J35" s="18" t="n">
        <x:v>24100</x:v>
      </x:c>
      <x:c r="K35" s="16" t="n">
        <x:v>0.1</x:v>
      </x:c>
      <x:c r="L35" s="18" t="n">
        <x:v>13800</x:v>
      </x:c>
      <x:c r="M35" s="11" t="str">
        <x:v>Efectivo</x:v>
      </x:c>
      <x:c r="N35" s="11" t="n">
        <x:v>58</x:v>
      </x:c>
      <x:c r="O35" s="11" t="str">
        <x:v>A tiempo</x:v>
      </x:c>
      <x:c r="P35" s="20" t="n">
        <x:v>2</x:v>
      </x:c>
      <x:c r="Q35" s="18" t="n">
        <x:f>I35*J35</x:f>
        <x:v>24100</x:v>
      </x:c>
      <x:c r="R35" s="18" t="n">
        <x:f>Q35*K35</x:f>
        <x:v>2410</x:v>
      </x:c>
      <x:c r="S35" s="18" t="n">
        <x:f>Q35-R35</x:f>
        <x:v>21690</x:v>
      </x:c>
      <x:c r="T35" s="18" t="n">
        <x:f>I35*L35</x:f>
        <x:v>13800</x:v>
      </x:c>
      <x:c r="U35" s="18" t="n">
        <x:f>S35-T35</x:f>
        <x:v>7890</x:v>
      </x:c>
    </x:row>
    <x:row r="36">
      <x:c r="A36" s="11" t="str">
        <x:v>V-0072</x:v>
      </x:c>
      <x:c r="B36" s="14" t="n">
        <x:v>46040</x:v>
      </x:c>
      <x:c r="C36" s="11" t="str">
        <x:v>Neiva</x:v>
      </x:c>
      <x:c r="D36" s="11" t="str">
        <x:v>Tienda</x:v>
      </x:c>
      <x:c r="E36" s="11" t="str">
        <x:v>Alimentos</x:v>
      </x:c>
      <x:c r="F36" s="11" t="str">
        <x:v>Snack saludable</x:v>
      </x:c>
      <x:c r="G36" s="11" t="str">
        <x:v>C-0111</x:v>
      </x:c>
      <x:c r="H36" s="11" t="str">
        <x:v>Recurrente</x:v>
      </x:c>
      <x:c r="I36" s="11" t="n">
        <x:v>1</x:v>
      </x:c>
      <x:c r="J36" s="18" t="n">
        <x:v>8600</x:v>
      </x:c>
      <x:c r="K36" s="16" t="n">
        <x:v>0</x:v>
      </x:c>
      <x:c r="L36" s="18" t="n">
        <x:v>5100</x:v>
      </x:c>
      <x:c r="M36" s="11" t="str">
        <x:v>Transferencia</x:v>
      </x:c>
      <x:c r="N36" s="11" t="n">
        <x:v>0</x:v>
      </x:c>
      <x:c r="O36" s="11" t="str">
        <x:v>No aplica</x:v>
      </x:c>
      <x:c r="P36" s="20" t="n">
        <x:v>4</x:v>
      </x:c>
      <x:c r="Q36" s="18" t="n">
        <x:f>I36*J36</x:f>
        <x:v>8600</x:v>
      </x:c>
      <x:c r="R36" s="18" t="n">
        <x:f>Q36*K36</x:f>
        <x:v>0</x:v>
      </x:c>
      <x:c r="S36" s="18" t="n">
        <x:f>Q36-R36</x:f>
        <x:v>8600</x:v>
      </x:c>
      <x:c r="T36" s="18" t="n">
        <x:f>I36*L36</x:f>
        <x:v>5100</x:v>
      </x:c>
      <x:c r="U36" s="18" t="n">
        <x:f>S36-T36</x:f>
        <x:v>3500</x:v>
      </x:c>
    </x:row>
    <x:row r="37">
      <x:c r="A37" s="11" t="str">
        <x:v>V-0093</x:v>
      </x:c>
      <x:c r="B37" s="14" t="n">
        <x:v>46040</x:v>
      </x:c>
      <x:c r="C37" s="11" t="str">
        <x:v>Neiva</x:v>
      </x:c>
      <x:c r="D37" s="11" t="str">
        <x:v>Web</x:v>
      </x:c>
      <x:c r="E37" s="11" t="str">
        <x:v>Bebidas</x:v>
      </x:c>
      <x:c r="F37" s="11" t="str">
        <x:v>Bebida premium</x:v>
      </x:c>
      <x:c r="G37" s="11" t="str">
        <x:v>C-0025</x:v>
      </x:c>
      <x:c r="H37" s="11" t="str">
        <x:v>Recurrente</x:v>
      </x:c>
      <x:c r="I37" s="11" t="n">
        <x:v>2</x:v>
      </x:c>
      <x:c r="J37" s="18" t="n">
        <x:v>15300</x:v>
      </x:c>
      <x:c r="K37" s="16" t="n">
        <x:v>0</x:v>
      </x:c>
      <x:c r="L37" s="18" t="n">
        <x:v>9000</x:v>
      </x:c>
      <x:c r="M37" s="11" t="str">
        <x:v>Tarjeta</x:v>
      </x:c>
      <x:c r="N37" s="11" t="n">
        <x:v>45</x:v>
      </x:c>
      <x:c r="O37" s="11" t="str">
        <x:v>A tiempo</x:v>
      </x:c>
      <x:c r="P37" s="20" t="n">
        <x:v>4</x:v>
      </x:c>
      <x:c r="Q37" s="18" t="n">
        <x:f>I37*J37</x:f>
        <x:v>30600</x:v>
      </x:c>
      <x:c r="R37" s="18" t="n">
        <x:f>Q37*K37</x:f>
        <x:v>0</x:v>
      </x:c>
      <x:c r="S37" s="18" t="n">
        <x:f>Q37-R37</x:f>
        <x:v>30600</x:v>
      </x:c>
      <x:c r="T37" s="18" t="n">
        <x:f>I37*L37</x:f>
        <x:v>18000</x:v>
      </x:c>
      <x:c r="U37" s="18" t="n">
        <x:f>S37-T37</x:f>
        <x:v>12600</x:v>
      </x:c>
    </x:row>
    <x:row r="38">
      <x:c r="A38" s="11" t="str">
        <x:v>V-0342</x:v>
      </x:c>
      <x:c r="B38" s="14" t="n">
        <x:v>46040</x:v>
      </x:c>
      <x:c r="C38" s="11" t="str">
        <x:v>Bogotá</x:v>
      </x:c>
      <x:c r="D38" s="11" t="str">
        <x:v>Tienda</x:v>
      </x:c>
      <x:c r="E38" s="11" t="str">
        <x:v>Hogar</x:v>
      </x:c>
      <x:c r="F38" s="11" t="str">
        <x:v>Organizador</x:v>
      </x:c>
      <x:c r="G38" s="11" t="str">
        <x:v>C-0026</x:v>
      </x:c>
      <x:c r="H38" s="11" t="str">
        <x:v>Recurrente</x:v>
      </x:c>
      <x:c r="I38" s="11" t="n">
        <x:v>2</x:v>
      </x:c>
      <x:c r="J38" s="18" t="n">
        <x:v>37900</x:v>
      </x:c>
      <x:c r="K38" s="16" t="n">
        <x:v>0.2</x:v>
      </x:c>
      <x:c r="L38" s="18" t="n">
        <x:v>23700</x:v>
      </x:c>
      <x:c r="M38" s="11" t="str">
        <x:v>Transferencia</x:v>
      </x:c>
      <x:c r="N38" s="11" t="n">
        <x:v>0</x:v>
      </x:c>
      <x:c r="O38" s="11" t="str">
        <x:v>No aplica</x:v>
      </x:c>
      <x:c r="P38" s="20" t="n">
        <x:v>4</x:v>
      </x:c>
      <x:c r="Q38" s="18" t="n">
        <x:f>I38*J38</x:f>
        <x:v>75800</x:v>
      </x:c>
      <x:c r="R38" s="18" t="n">
        <x:f>Q38*K38</x:f>
        <x:v>15160</x:v>
      </x:c>
      <x:c r="S38" s="18" t="n">
        <x:f>Q38-R38</x:f>
        <x:v>60640</x:v>
      </x:c>
      <x:c r="T38" s="18" t="n">
        <x:f>I38*L38</x:f>
        <x:v>47400</x:v>
      </x:c>
      <x:c r="U38" s="18" t="n">
        <x:f>S38-T38</x:f>
        <x:v>13240</x:v>
      </x:c>
    </x:row>
    <x:row r="39">
      <x:c r="A39" s="11" t="str">
        <x:v>V-0360</x:v>
      </x:c>
      <x:c r="B39" s="14" t="n">
        <x:v>46040</x:v>
      </x:c>
      <x:c r="C39" s="11" t="str">
        <x:v>Cali</x:v>
      </x:c>
      <x:c r="D39" s="11" t="str">
        <x:v>App</x:v>
      </x:c>
      <x:c r="E39" s="11" t="str">
        <x:v>Alimentos</x:v>
      </x:c>
      <x:c r="F39" s="11" t="str">
        <x:v>Combo almuerzo</x:v>
      </x:c>
      <x:c r="G39" s="11" t="str">
        <x:v>C-0110</x:v>
      </x:c>
      <x:c r="H39" s="11" t="str">
        <x:v>Recurrente</x:v>
      </x:c>
      <x:c r="I39" s="11" t="n">
        <x:v>3</x:v>
      </x:c>
      <x:c r="J39" s="18" t="n">
        <x:v>23200</x:v>
      </x:c>
      <x:c r="K39" s="16" t="n">
        <x:v>0</x:v>
      </x:c>
      <x:c r="L39" s="18" t="n">
        <x:v>14400</x:v>
      </x:c>
      <x:c r="M39" s="11" t="str">
        <x:v>Billetera digital</x:v>
      </x:c>
      <x:c r="N39" s="11" t="n">
        <x:v>79</x:v>
      </x:c>
      <x:c r="O39" s="11" t="str">
        <x:v>Tardía</x:v>
      </x:c>
      <x:c r="P39" s="20" t="n">
        <x:v>5</x:v>
      </x:c>
      <x:c r="Q39" s="18" t="n">
        <x:f>I39*J39</x:f>
        <x:v>69600</x:v>
      </x:c>
      <x:c r="R39" s="18" t="n">
        <x:f>Q39*K39</x:f>
        <x:v>0</x:v>
      </x:c>
      <x:c r="S39" s="18" t="n">
        <x:f>Q39-R39</x:f>
        <x:v>69600</x:v>
      </x:c>
      <x:c r="T39" s="18" t="n">
        <x:f>I39*L39</x:f>
        <x:v>43200</x:v>
      </x:c>
      <x:c r="U39" s="18" t="n">
        <x:f>S39-T39</x:f>
        <x:v>26400</x:v>
      </x:c>
    </x:row>
    <x:row r="40">
      <x:c r="A40" s="11" t="str">
        <x:v>V-0439</x:v>
      </x:c>
      <x:c r="B40" s="14" t="n">
        <x:v>46040</x:v>
      </x:c>
      <x:c r="C40" s="11" t="str">
        <x:v>Neiva</x:v>
      </x:c>
      <x:c r="D40" s="11" t="str">
        <x:v>Tienda</x:v>
      </x:c>
      <x:c r="E40" s="11" t="str">
        <x:v>Hogar</x:v>
      </x:c>
      <x:c r="F40" s="11" t="str">
        <x:v>Organizador</x:v>
      </x:c>
      <x:c r="G40" s="11" t="str">
        <x:v>C-0017</x:v>
      </x:c>
      <x:c r="H40" s="11" t="str">
        <x:v>Recurrente</x:v>
      </x:c>
      <x:c r="I40" s="11" t="n">
        <x:v>2</x:v>
      </x:c>
      <x:c r="J40" s="18" t="n">
        <x:v>34200</x:v>
      </x:c>
      <x:c r="K40" s="16" t="n">
        <x:v>0.05</x:v>
      </x:c>
      <x:c r="L40" s="18" t="n">
        <x:v>21500</x:v>
      </x:c>
      <x:c r="M40" s="11" t="str">
        <x:v>Efectivo</x:v>
      </x:c>
      <x:c r="N40" s="11" t="n">
        <x:v>0</x:v>
      </x:c>
      <x:c r="O40" s="11" t="str">
        <x:v>No aplica</x:v>
      </x:c>
      <x:c r="P40" s="20" t="n">
        <x:v>4</x:v>
      </x:c>
      <x:c r="Q40" s="18" t="n">
        <x:f>I40*J40</x:f>
        <x:v>68400</x:v>
      </x:c>
      <x:c r="R40" s="18" t="n">
        <x:f>Q40*K40</x:f>
        <x:v>3420</x:v>
      </x:c>
      <x:c r="S40" s="18" t="n">
        <x:f>Q40-R40</x:f>
        <x:v>64980</x:v>
      </x:c>
      <x:c r="T40" s="18" t="n">
        <x:f>I40*L40</x:f>
        <x:v>43000</x:v>
      </x:c>
      <x:c r="U40" s="18" t="n">
        <x:f>S40-T40</x:f>
        <x:v>21980</x:v>
      </x:c>
    </x:row>
    <x:row r="41">
      <x:c r="A41" s="11" t="str">
        <x:v>V-0056</x:v>
      </x:c>
      <x:c r="B41" s="14" t="n">
        <x:v>46041</x:v>
      </x:c>
      <x:c r="C41" s="11" t="str">
        <x:v>Neiva</x:v>
      </x:c>
      <x:c r="D41" s="11" t="str">
        <x:v>Tienda</x:v>
      </x:c>
      <x:c r="E41" s="11" t="str">
        <x:v>Hogar</x:v>
      </x:c>
      <x:c r="F41" s="11" t="str">
        <x:v>Organizador</x:v>
      </x:c>
      <x:c r="G41" s="11" t="str">
        <x:v>C-0084</x:v>
      </x:c>
      <x:c r="H41" s="11" t="str">
        <x:v>Nuevo</x:v>
      </x:c>
      <x:c r="I41" s="11" t="n">
        <x:v>1</x:v>
      </x:c>
      <x:c r="J41" s="18" t="n">
        <x:v>34100</x:v>
      </x:c>
      <x:c r="K41" s="16" t="n">
        <x:v>0.1</x:v>
      </x:c>
      <x:c r="L41" s="18" t="n">
        <x:v>20000</x:v>
      </x:c>
      <x:c r="M41" s="11" t="str">
        <x:v>Efectivo</x:v>
      </x:c>
      <x:c r="N41" s="11" t="n">
        <x:v>0</x:v>
      </x:c>
      <x:c r="O41" s="11" t="str">
        <x:v>No aplica</x:v>
      </x:c>
      <x:c r="P41" s="20" t="n">
        <x:v>5</x:v>
      </x:c>
      <x:c r="Q41" s="18" t="n">
        <x:f>I41*J41</x:f>
        <x:v>34100</x:v>
      </x:c>
      <x:c r="R41" s="18" t="n">
        <x:f>Q41*K41</x:f>
        <x:v>3410</x:v>
      </x:c>
      <x:c r="S41" s="18" t="n">
        <x:f>Q41-R41</x:f>
        <x:v>30690</x:v>
      </x:c>
      <x:c r="T41" s="18" t="n">
        <x:f>I41*L41</x:f>
        <x:v>20000</x:v>
      </x:c>
      <x:c r="U41" s="18" t="n">
        <x:f>S41-T41</x:f>
        <x:v>10690</x:v>
      </x:c>
    </x:row>
    <x:row r="42">
      <x:c r="A42" s="11" t="str">
        <x:v>V-0186</x:v>
      </x:c>
      <x:c r="B42" s="14" t="n">
        <x:v>46041</x:v>
      </x:c>
      <x:c r="C42" s="11" t="str">
        <x:v>Florencia</x:v>
      </x:c>
      <x:c r="D42" s="11" t="str">
        <x:v>Tienda</x:v>
      </x:c>
      <x:c r="E42" s="11" t="str">
        <x:v>Hogar</x:v>
      </x:c>
      <x:c r="F42" s="11" t="str">
        <x:v>Kit limpieza</x:v>
      </x:c>
      <x:c r="G42" s="11" t="str">
        <x:v>C-0083</x:v>
      </x:c>
      <x:c r="H42" s="11" t="str">
        <x:v>Recurrente</x:v>
      </x:c>
      <x:c r="I42" s="11" t="n">
        <x:v>3</x:v>
      </x:c>
      <x:c r="J42" s="18" t="n">
        <x:v>23700</x:v>
      </x:c>
      <x:c r="K42" s="16" t="n">
        <x:v>0</x:v>
      </x:c>
      <x:c r="L42" s="18" t="n">
        <x:v>13300</x:v>
      </x:c>
      <x:c r="M42" s="11" t="str">
        <x:v>Tarjeta</x:v>
      </x:c>
      <x:c r="N42" s="11" t="n">
        <x:v>0</x:v>
      </x:c>
      <x:c r="O42" s="11" t="str">
        <x:v>No aplica</x:v>
      </x:c>
      <x:c r="P42" s="20" t="n">
        <x:v>4</x:v>
      </x:c>
      <x:c r="Q42" s="18" t="n">
        <x:f>I42*J42</x:f>
        <x:v>71100</x:v>
      </x:c>
      <x:c r="R42" s="18" t="n">
        <x:f>Q42*K42</x:f>
        <x:v>0</x:v>
      </x:c>
      <x:c r="S42" s="18" t="n">
        <x:f>Q42-R42</x:f>
        <x:v>71100</x:v>
      </x:c>
      <x:c r="T42" s="18" t="n">
        <x:f>I42*L42</x:f>
        <x:v>39900</x:v>
      </x:c>
      <x:c r="U42" s="18" t="n">
        <x:f>S42-T42</x:f>
        <x:v>31200</x:v>
      </x:c>
    </x:row>
    <x:row r="43">
      <x:c r="A43" s="11" t="str">
        <x:v>V-0136</x:v>
      </x:c>
      <x:c r="B43" s="14" t="n">
        <x:v>46042</x:v>
      </x:c>
      <x:c r="C43" s="11" t="str">
        <x:v>Neiva</x:v>
      </x:c>
      <x:c r="D43" s="11" t="str">
        <x:v>Web</x:v>
      </x:c>
      <x:c r="E43" s="11" t="str">
        <x:v>Bebidas</x:v>
      </x:c>
      <x:c r="F43" s="11" t="str">
        <x:v>Bebida fría</x:v>
      </x:c>
      <x:c r="G43" s="11" t="str">
        <x:v>C-0024</x:v>
      </x:c>
      <x:c r="H43" s="11" t="str">
        <x:v>Nuevo</x:v>
      </x:c>
      <x:c r="I43" s="11" t="n">
        <x:v>4</x:v>
      </x:c>
      <x:c r="J43" s="18" t="n">
        <x:v>7800</x:v>
      </x:c>
      <x:c r="K43" s="16" t="n">
        <x:v>0.05</x:v>
      </x:c>
      <x:c r="L43" s="18" t="n">
        <x:v>4200</x:v>
      </x:c>
      <x:c r="M43" s="11" t="str">
        <x:v>Billetera digital</x:v>
      </x:c>
      <x:c r="N43" s="11" t="n">
        <x:v>42</x:v>
      </x:c>
      <x:c r="O43" s="11" t="str">
        <x:v>A tiempo</x:v>
      </x:c>
      <x:c r="P43" s="20" t="n">
        <x:v>5</x:v>
      </x:c>
      <x:c r="Q43" s="18" t="n">
        <x:f>I43*J43</x:f>
        <x:v>31200</x:v>
      </x:c>
      <x:c r="R43" s="18" t="n">
        <x:f>Q43*K43</x:f>
        <x:v>1560</x:v>
      </x:c>
      <x:c r="S43" s="18" t="n">
        <x:f>Q43-R43</x:f>
        <x:v>29640</x:v>
      </x:c>
      <x:c r="T43" s="18" t="n">
        <x:f>I43*L43</x:f>
        <x:v>16800</x:v>
      </x:c>
      <x:c r="U43" s="18" t="n">
        <x:f>S43-T43</x:f>
        <x:v>12840</x:v>
      </x:c>
    </x:row>
    <x:row r="44">
      <x:c r="A44" s="11" t="str">
        <x:v>V-0218</x:v>
      </x:c>
      <x:c r="B44" s="14" t="n">
        <x:v>46042</x:v>
      </x:c>
      <x:c r="C44" s="11" t="str">
        <x:v>Neiva</x:v>
      </x:c>
      <x:c r="D44" s="11" t="str">
        <x:v>Tienda</x:v>
      </x:c>
      <x:c r="E44" s="11" t="str">
        <x:v>Alimentos</x:v>
      </x:c>
      <x:c r="F44" s="11" t="str">
        <x:v>Combo almuerzo</x:v>
      </x:c>
      <x:c r="G44" s="11" t="str">
        <x:v>C-0106</x:v>
      </x:c>
      <x:c r="H44" s="11" t="str">
        <x:v>Recurrente</x:v>
      </x:c>
      <x:c r="I44" s="11" t="n">
        <x:v>1</x:v>
      </x:c>
      <x:c r="J44" s="18" t="n">
        <x:v>20200</x:v>
      </x:c>
      <x:c r="K44" s="16" t="n">
        <x:v>0</x:v>
      </x:c>
      <x:c r="L44" s="18" t="n">
        <x:v>11500</x:v>
      </x:c>
      <x:c r="M44" s="11" t="str">
        <x:v>Efectivo</x:v>
      </x:c>
      <x:c r="N44" s="11" t="n">
        <x:v>0</x:v>
      </x:c>
      <x:c r="O44" s="11" t="str">
        <x:v>No aplica</x:v>
      </x:c>
      <x:c r="P44" s="20" t="n">
        <x:v>4</x:v>
      </x:c>
      <x:c r="Q44" s="18" t="n">
        <x:f>I44*J44</x:f>
        <x:v>20200</x:v>
      </x:c>
      <x:c r="R44" s="18" t="n">
        <x:f>Q44*K44</x:f>
        <x:v>0</x:v>
      </x:c>
      <x:c r="S44" s="18" t="n">
        <x:f>Q44-R44</x:f>
        <x:v>20200</x:v>
      </x:c>
      <x:c r="T44" s="18" t="n">
        <x:f>I44*L44</x:f>
        <x:v>11500</x:v>
      </x:c>
      <x:c r="U44" s="18" t="n">
        <x:f>S44-T44</x:f>
        <x:v>8700</x:v>
      </x:c>
    </x:row>
    <x:row r="45">
      <x:c r="A45" s="11" t="str">
        <x:v>V-0427</x:v>
      </x:c>
      <x:c r="B45" s="14" t="n">
        <x:v>46042</x:v>
      </x:c>
      <x:c r="C45" s="11" t="str">
        <x:v>Cali</x:v>
      </x:c>
      <x:c r="D45" s="11" t="str">
        <x:v>Web</x:v>
      </x:c>
      <x:c r="E45" s="11" t="str">
        <x:v>Cuidado personal</x:v>
      </x:c>
      <x:c r="F45" s="11" t="str">
        <x:v>Accesorio personal</x:v>
      </x:c>
      <x:c r="G45" s="11" t="str">
        <x:v>C-0013</x:v>
      </x:c>
      <x:c r="H45" s="11" t="str">
        <x:v>Recurrente</x:v>
      </x:c>
      <x:c r="I45" s="11" t="n">
        <x:v>2</x:v>
      </x:c>
      <x:c r="J45" s="18" t="n">
        <x:v>17800</x:v>
      </x:c>
      <x:c r="K45" s="16" t="n">
        <x:v>0.15</x:v>
      </x:c>
      <x:c r="L45" s="18" t="n">
        <x:v>10200</x:v>
      </x:c>
      <x:c r="M45" s="11" t="str">
        <x:v>Transferencia</x:v>
      </x:c>
      <x:c r="N45" s="11" t="n">
        <x:v>66</x:v>
      </x:c>
      <x:c r="O45" s="11" t="str">
        <x:v>Tardía</x:v>
      </x:c>
      <x:c r="P45" s="20" t="n">
        <x:v>4</x:v>
      </x:c>
      <x:c r="Q45" s="18" t="n">
        <x:f>I45*J45</x:f>
        <x:v>35600</x:v>
      </x:c>
      <x:c r="R45" s="18" t="n">
        <x:f>Q45*K45</x:f>
        <x:v>5340</x:v>
      </x:c>
      <x:c r="S45" s="18" t="n">
        <x:f>Q45-R45</x:f>
        <x:v>30260</x:v>
      </x:c>
      <x:c r="T45" s="18" t="n">
        <x:f>I45*L45</x:f>
        <x:v>20400</x:v>
      </x:c>
      <x:c r="U45" s="18" t="n">
        <x:f>S45-T45</x:f>
        <x:v>9860</x:v>
      </x:c>
    </x:row>
    <x:row r="46">
      <x:c r="A46" s="11" t="str">
        <x:v>V-0035</x:v>
      </x:c>
      <x:c r="B46" s="14" t="n">
        <x:v>46043</x:v>
      </x:c>
      <x:c r="C46" s="11" t="str">
        <x:v>Ibagué</x:v>
      </x:c>
      <x:c r="D46" s="11" t="str">
        <x:v>Tienda</x:v>
      </x:c>
      <x:c r="E46" s="11" t="str">
        <x:v>Alimentos</x:v>
      </x:c>
      <x:c r="F46" s="11" t="str">
        <x:v>Snack saludable</x:v>
      </x:c>
      <x:c r="G46" s="11" t="str">
        <x:v>C-0086</x:v>
      </x:c>
      <x:c r="H46" s="11" t="str">
        <x:v>Nuevo</x:v>
      </x:c>
      <x:c r="I46" s="11" t="n">
        <x:v>2</x:v>
      </x:c>
      <x:c r="J46" s="18" t="n">
        <x:v>7900</x:v>
      </x:c>
      <x:c r="K46" s="16" t="n">
        <x:v>0.1</x:v>
      </x:c>
      <x:c r="L46" s="18" t="n">
        <x:v>4700</x:v>
      </x:c>
      <x:c r="M46" s="11" t="str">
        <x:v>Billetera digital</x:v>
      </x:c>
      <x:c r="N46" s="11" t="n">
        <x:v>0</x:v>
      </x:c>
      <x:c r="O46" s="11" t="str">
        <x:v>No aplica</x:v>
      </x:c>
      <x:c r="P46" s="20" t="n">
        <x:v>5</x:v>
      </x:c>
      <x:c r="Q46" s="18" t="n">
        <x:f>I46*J46</x:f>
        <x:v>15800</x:v>
      </x:c>
      <x:c r="R46" s="18" t="n">
        <x:f>Q46*K46</x:f>
        <x:v>1580</x:v>
      </x:c>
      <x:c r="S46" s="18" t="n">
        <x:f>Q46-R46</x:f>
        <x:v>14220</x:v>
      </x:c>
      <x:c r="T46" s="18" t="n">
        <x:f>I46*L46</x:f>
        <x:v>9400</x:v>
      </x:c>
      <x:c r="U46" s="18" t="n">
        <x:f>S46-T46</x:f>
        <x:v>4820</x:v>
      </x:c>
    </x:row>
    <x:row r="47">
      <x:c r="A47" s="11" t="str">
        <x:v>V-0065</x:v>
      </x:c>
      <x:c r="B47" s="14" t="n">
        <x:v>46043</x:v>
      </x:c>
      <x:c r="C47" s="11" t="str">
        <x:v>Ibagué</x:v>
      </x:c>
      <x:c r="D47" s="11" t="str">
        <x:v>App</x:v>
      </x:c>
      <x:c r="E47" s="11" t="str">
        <x:v>Bebidas</x:v>
      </x:c>
      <x:c r="F47" s="11" t="str">
        <x:v>Bebida fría</x:v>
      </x:c>
      <x:c r="G47" s="11" t="str">
        <x:v>C-0086</x:v>
      </x:c>
      <x:c r="H47" s="11" t="str">
        <x:v>Recurrente</x:v>
      </x:c>
      <x:c r="I47" s="11" t="n">
        <x:v>1</x:v>
      </x:c>
      <x:c r="J47" s="18" t="n">
        <x:v>7800</x:v>
      </x:c>
      <x:c r="K47" s="16" t="n">
        <x:v>0</x:v>
      </x:c>
      <x:c r="L47" s="18" t="n">
        <x:v>3900</x:v>
      </x:c>
      <x:c r="M47" s="11" t="str">
        <x:v>Tarjeta</x:v>
      </x:c>
      <x:c r="N47" s="11" t="n">
        <x:v>64</x:v>
      </x:c>
      <x:c r="O47" s="11" t="str">
        <x:v>Tardía</x:v>
      </x:c>
      <x:c r="P47" s="20" t="n">
        <x:v>3</x:v>
      </x:c>
      <x:c r="Q47" s="18" t="n">
        <x:f>I47*J47</x:f>
        <x:v>7800</x:v>
      </x:c>
      <x:c r="R47" s="18" t="n">
        <x:f>Q47*K47</x:f>
        <x:v>0</x:v>
      </x:c>
      <x:c r="S47" s="18" t="n">
        <x:f>Q47-R47</x:f>
        <x:v>7800</x:v>
      </x:c>
      <x:c r="T47" s="18" t="n">
        <x:f>I47*L47</x:f>
        <x:v>3900</x:v>
      </x:c>
      <x:c r="U47" s="18" t="n">
        <x:f>S47-T47</x:f>
        <x:v>3900</x:v>
      </x:c>
    </x:row>
    <x:row r="48">
      <x:c r="A48" s="11" t="str">
        <x:v>V-0096</x:v>
      </x:c>
      <x:c r="B48" s="14" t="n">
        <x:v>46043</x:v>
      </x:c>
      <x:c r="C48" s="11" t="str">
        <x:v>Medellín</x:v>
      </x:c>
      <x:c r="D48" s="11" t="str">
        <x:v>Web</x:v>
      </x:c>
      <x:c r="E48" s="11" t="str">
        <x:v>Cuidado personal</x:v>
      </x:c>
      <x:c r="F48" s="11" t="str">
        <x:v>Producto bienestar</x:v>
      </x:c>
      <x:c r="G48" s="11" t="str">
        <x:v>C-0047</x:v>
      </x:c>
      <x:c r="H48" s="11" t="str">
        <x:v>Recurrente</x:v>
      </x:c>
      <x:c r="I48" s="11" t="n">
        <x:v>2</x:v>
      </x:c>
      <x:c r="J48" s="18" t="n">
        <x:v>36800</x:v>
      </x:c>
      <x:c r="K48" s="16" t="n">
        <x:v>0.1</x:v>
      </x:c>
      <x:c r="L48" s="18" t="n">
        <x:v>23000</x:v>
      </x:c>
      <x:c r="M48" s="11" t="str">
        <x:v>Efectivo</x:v>
      </x:c>
      <x:c r="N48" s="11" t="n">
        <x:v>61</x:v>
      </x:c>
      <x:c r="O48" s="11" t="str">
        <x:v>Tardía</x:v>
      </x:c>
      <x:c r="P48" s="20" t="n">
        <x:v>3</x:v>
      </x:c>
      <x:c r="Q48" s="18" t="n">
        <x:f>I48*J48</x:f>
        <x:v>73600</x:v>
      </x:c>
      <x:c r="R48" s="18" t="n">
        <x:f>Q48*K48</x:f>
        <x:v>7360</x:v>
      </x:c>
      <x:c r="S48" s="18" t="n">
        <x:f>Q48-R48</x:f>
        <x:v>66240</x:v>
      </x:c>
      <x:c r="T48" s="18" t="n">
        <x:f>I48*L48</x:f>
        <x:v>46000</x:v>
      </x:c>
      <x:c r="U48" s="18" t="n">
        <x:f>S48-T48</x:f>
        <x:v>20240</x:v>
      </x:c>
    </x:row>
    <x:row r="49">
      <x:c r="A49" s="11" t="str">
        <x:v>V-0433</x:v>
      </x:c>
      <x:c r="B49" s="14" t="n">
        <x:v>46043</x:v>
      </x:c>
      <x:c r="C49" s="11" t="str">
        <x:v>Bogotá</x:v>
      </x:c>
      <x:c r="D49" s="11" t="str">
        <x:v>Tienda</x:v>
      </x:c>
      <x:c r="E49" s="11" t="str">
        <x:v>Hogar</x:v>
      </x:c>
      <x:c r="F49" s="11" t="str">
        <x:v>Organizador</x:v>
      </x:c>
      <x:c r="G49" s="11" t="str">
        <x:v>C-0097</x:v>
      </x:c>
      <x:c r="H49" s="11" t="str">
        <x:v>Recurrente</x:v>
      </x:c>
      <x:c r="I49" s="11" t="n">
        <x:v>4</x:v>
      </x:c>
      <x:c r="J49" s="18" t="n">
        <x:v>36200</x:v>
      </x:c>
      <x:c r="K49" s="16" t="n">
        <x:v>0</x:v>
      </x:c>
      <x:c r="L49" s="18" t="n">
        <x:v>22700</x:v>
      </x:c>
      <x:c r="M49" s="11" t="str">
        <x:v>Tarjeta</x:v>
      </x:c>
      <x:c r="N49" s="11" t="n">
        <x:v>0</x:v>
      </x:c>
      <x:c r="O49" s="11" t="str">
        <x:v>No aplica</x:v>
      </x:c>
      <x:c r="P49" s="20" t="n">
        <x:v>4</x:v>
      </x:c>
      <x:c r="Q49" s="18" t="n">
        <x:f>I49*J49</x:f>
        <x:v>144800</x:v>
      </x:c>
      <x:c r="R49" s="18" t="n">
        <x:f>Q49*K49</x:f>
        <x:v>0</x:v>
      </x:c>
      <x:c r="S49" s="18" t="n">
        <x:f>Q49-R49</x:f>
        <x:v>144800</x:v>
      </x:c>
      <x:c r="T49" s="18" t="n">
        <x:f>I49*L49</x:f>
        <x:v>90800</x:v>
      </x:c>
      <x:c r="U49" s="18" t="n">
        <x:f>S49-T49</x:f>
        <x:v>54000</x:v>
      </x:c>
    </x:row>
    <x:row r="50">
      <x:c r="A50" s="11" t="str">
        <x:v>V-0322</x:v>
      </x:c>
      <x:c r="B50" s="14" t="n">
        <x:v>46044</x:v>
      </x:c>
      <x:c r="C50" s="11" t="str">
        <x:v>Ibagué</x:v>
      </x:c>
      <x:c r="D50" s="11" t="str">
        <x:v>Tienda</x:v>
      </x:c>
      <x:c r="E50" s="11" t="str">
        <x:v>Alimentos</x:v>
      </x:c>
      <x:c r="F50" s="11" t="str">
        <x:v>Producto gourmet</x:v>
      </x:c>
      <x:c r="G50" s="11" t="str">
        <x:v>C-0071</x:v>
      </x:c>
      <x:c r="H50" s="11" t="str">
        <x:v>Recurrente</x:v>
      </x:c>
      <x:c r="I50" s="11" t="n">
        <x:v>1</x:v>
      </x:c>
      <x:c r="J50" s="18" t="n">
        <x:v>28300</x:v>
      </x:c>
      <x:c r="K50" s="16" t="n">
        <x:v>0.05</x:v>
      </x:c>
      <x:c r="L50" s="18" t="n">
        <x:v>18300</x:v>
      </x:c>
      <x:c r="M50" s="11" t="str">
        <x:v>Billetera digital</x:v>
      </x:c>
      <x:c r="N50" s="11" t="n">
        <x:v>0</x:v>
      </x:c>
      <x:c r="O50" s="11" t="str">
        <x:v>No aplica</x:v>
      </x:c>
      <x:c r="P50" s="20" t="n">
        <x:v>5</x:v>
      </x:c>
      <x:c r="Q50" s="18" t="n">
        <x:f>I50*J50</x:f>
        <x:v>28300</x:v>
      </x:c>
      <x:c r="R50" s="18" t="n">
        <x:f>Q50*K50</x:f>
        <x:v>1415</x:v>
      </x:c>
      <x:c r="S50" s="18" t="n">
        <x:f>Q50-R50</x:f>
        <x:v>26885</x:v>
      </x:c>
      <x:c r="T50" s="18" t="n">
        <x:f>I50*L50</x:f>
        <x:v>18300</x:v>
      </x:c>
      <x:c r="U50" s="18" t="n">
        <x:f>S50-T50</x:f>
        <x:v>8585</x:v>
      </x:c>
    </x:row>
    <x:row r="51">
      <x:c r="A51" s="11" t="str">
        <x:v>V-0002</x:v>
      </x:c>
      <x:c r="B51" s="14" t="n">
        <x:v>46045</x:v>
      </x:c>
      <x:c r="C51" s="11" t="str">
        <x:v>Neiva</x:v>
      </x:c>
      <x:c r="D51" s="11" t="str">
        <x:v>Tienda</x:v>
      </x:c>
      <x:c r="E51" s="11" t="str">
        <x:v>Hogar</x:v>
      </x:c>
      <x:c r="F51" s="11" t="str">
        <x:v>Organizador</x:v>
      </x:c>
      <x:c r="G51" s="11" t="str">
        <x:v>C-0119</x:v>
      </x:c>
      <x:c r="H51" s="11" t="str">
        <x:v>Nuevo</x:v>
      </x:c>
      <x:c r="I51" s="11" t="n">
        <x:v>4</x:v>
      </x:c>
      <x:c r="J51" s="18" t="n">
        <x:v>35500</x:v>
      </x:c>
      <x:c r="K51" s="16" t="n">
        <x:v>0</x:v>
      </x:c>
      <x:c r="L51" s="18" t="n">
        <x:v>21500</x:v>
      </x:c>
      <x:c r="M51" s="11" t="str">
        <x:v>Transferencia</x:v>
      </x:c>
      <x:c r="N51" s="11" t="n">
        <x:v>0</x:v>
      </x:c>
      <x:c r="O51" s="11" t="str">
        <x:v>No aplica</x:v>
      </x:c>
      <x:c r="P51" s="20" t="n">
        <x:v>4</x:v>
      </x:c>
      <x:c r="Q51" s="18" t="n">
        <x:f>I51*J51</x:f>
        <x:v>142000</x:v>
      </x:c>
      <x:c r="R51" s="18" t="n">
        <x:f>Q51*K51</x:f>
        <x:v>0</x:v>
      </x:c>
      <x:c r="S51" s="18" t="n">
        <x:f>Q51-R51</x:f>
        <x:v>142000</x:v>
      </x:c>
      <x:c r="T51" s="18" t="n">
        <x:f>I51*L51</x:f>
        <x:v>86000</x:v>
      </x:c>
      <x:c r="U51" s="18" t="n">
        <x:f>S51-T51</x:f>
        <x:v>56000</x:v>
      </x:c>
    </x:row>
    <x:row r="52">
      <x:c r="A52" s="11" t="str">
        <x:v>V-0018</x:v>
      </x:c>
      <x:c r="B52" s="14" t="n">
        <x:v>46045</x:v>
      </x:c>
      <x:c r="C52" s="11" t="str">
        <x:v>Neiva</x:v>
      </x:c>
      <x:c r="D52" s="11" t="str">
        <x:v>Tienda</x:v>
      </x:c>
      <x:c r="E52" s="11" t="str">
        <x:v>Cuidado personal</x:v>
      </x:c>
      <x:c r="F52" s="11" t="str">
        <x:v>Kit cuidado</x:v>
      </x:c>
      <x:c r="G52" s="11" t="str">
        <x:v>C-0036</x:v>
      </x:c>
      <x:c r="H52" s="11" t="str">
        <x:v>Recurrente</x:v>
      </x:c>
      <x:c r="I52" s="11" t="n">
        <x:v>5</x:v>
      </x:c>
      <x:c r="J52" s="18" t="n">
        <x:v>44600</x:v>
      </x:c>
      <x:c r="K52" s="16" t="n">
        <x:v>0</x:v>
      </x:c>
      <x:c r="L52" s="18" t="n">
        <x:v>28400</x:v>
      </x:c>
      <x:c r="M52" s="11" t="str">
        <x:v>Tarjeta</x:v>
      </x:c>
      <x:c r="N52" s="11" t="n">
        <x:v>0</x:v>
      </x:c>
      <x:c r="O52" s="11" t="str">
        <x:v>No aplica</x:v>
      </x:c>
      <x:c r="P52" s="20" t="n">
        <x:v>4</x:v>
      </x:c>
      <x:c r="Q52" s="18" t="n">
        <x:f>I52*J52</x:f>
        <x:v>223000</x:v>
      </x:c>
      <x:c r="R52" s="18" t="n">
        <x:f>Q52*K52</x:f>
        <x:v>0</x:v>
      </x:c>
      <x:c r="S52" s="18" t="n">
        <x:f>Q52-R52</x:f>
        <x:v>223000</x:v>
      </x:c>
      <x:c r="T52" s="18" t="n">
        <x:f>I52*L52</x:f>
        <x:v>142000</x:v>
      </x:c>
      <x:c r="U52" s="18" t="n">
        <x:f>S52-T52</x:f>
        <x:v>81000</x:v>
      </x:c>
    </x:row>
    <x:row r="53">
      <x:c r="A53" s="11" t="str">
        <x:v>V-0445</x:v>
      </x:c>
      <x:c r="B53" s="14" t="n">
        <x:v>46045</x:v>
      </x:c>
      <x:c r="C53" s="11" t="str">
        <x:v>Neiva</x:v>
      </x:c>
      <x:c r="D53" s="11" t="str">
        <x:v>Web</x:v>
      </x:c>
      <x:c r="E53" s="11" t="str">
        <x:v>Bebidas</x:v>
      </x:c>
      <x:c r="F53" s="11" t="str">
        <x:v>Bebida fría</x:v>
      </x:c>
      <x:c r="G53" s="11" t="str">
        <x:v>C-0082</x:v>
      </x:c>
      <x:c r="H53" s="11" t="str">
        <x:v>Recurrente</x:v>
      </x:c>
      <x:c r="I53" s="11" t="n">
        <x:v>2</x:v>
      </x:c>
      <x:c r="J53" s="18" t="n">
        <x:v>7600</x:v>
      </x:c>
      <x:c r="K53" s="16" t="n">
        <x:v>0.05</x:v>
      </x:c>
      <x:c r="L53" s="18" t="n">
        <x:v>4100</x:v>
      </x:c>
      <x:c r="M53" s="11" t="str">
        <x:v>Billetera digital</x:v>
      </x:c>
      <x:c r="N53" s="11" t="n">
        <x:v>41</x:v>
      </x:c>
      <x:c r="O53" s="11" t="str">
        <x:v>A tiempo</x:v>
      </x:c>
      <x:c r="P53" s="20" t="n">
        <x:v>5</x:v>
      </x:c>
      <x:c r="Q53" s="18" t="n">
        <x:f>I53*J53</x:f>
        <x:v>15200</x:v>
      </x:c>
      <x:c r="R53" s="18" t="n">
        <x:f>Q53*K53</x:f>
        <x:v>760</x:v>
      </x:c>
      <x:c r="S53" s="18" t="n">
        <x:f>Q53-R53</x:f>
        <x:v>14440</x:v>
      </x:c>
      <x:c r="T53" s="18" t="n">
        <x:f>I53*L53</x:f>
        <x:v>8200</x:v>
      </x:c>
      <x:c r="U53" s="18" t="n">
        <x:f>S53-T53</x:f>
        <x:v>6240</x:v>
      </x:c>
    </x:row>
    <x:row r="54">
      <x:c r="A54" s="11" t="str">
        <x:v>V-0454</x:v>
      </x:c>
      <x:c r="B54" s="14" t="n">
        <x:v>46045</x:v>
      </x:c>
      <x:c r="C54" s="11" t="str">
        <x:v>Neiva</x:v>
      </x:c>
      <x:c r="D54" s="11" t="str">
        <x:v>Web</x:v>
      </x:c>
      <x:c r="E54" s="11" t="str">
        <x:v>Alimentos</x:v>
      </x:c>
      <x:c r="F54" s="11" t="str">
        <x:v>Snack saludable</x:v>
      </x:c>
      <x:c r="G54" s="11" t="str">
        <x:v>C-0055</x:v>
      </x:c>
      <x:c r="H54" s="11" t="str">
        <x:v>Recurrente</x:v>
      </x:c>
      <x:c r="I54" s="11" t="n">
        <x:v>1</x:v>
      </x:c>
      <x:c r="J54" s="18" t="n">
        <x:v>8900</x:v>
      </x:c>
      <x:c r="K54" s="16" t="n">
        <x:v>0</x:v>
      </x:c>
      <x:c r="L54" s="18" t="n">
        <x:v>5000</x:v>
      </x:c>
      <x:c r="M54" s="11" t="str">
        <x:v>Tarjeta</x:v>
      </x:c>
      <x:c r="N54" s="11" t="n">
        <x:v>25</x:v>
      </x:c>
      <x:c r="O54" s="11" t="str">
        <x:v>A tiempo</x:v>
      </x:c>
      <x:c r="P54" s="20" t="n">
        <x:v>4</x:v>
      </x:c>
      <x:c r="Q54" s="18" t="n">
        <x:f>I54*J54</x:f>
        <x:v>8900</x:v>
      </x:c>
      <x:c r="R54" s="18" t="n">
        <x:f>Q54*K54</x:f>
        <x:v>0</x:v>
      </x:c>
      <x:c r="S54" s="18" t="n">
        <x:f>Q54-R54</x:f>
        <x:v>8900</x:v>
      </x:c>
      <x:c r="T54" s="18" t="n">
        <x:f>I54*L54</x:f>
        <x:v>5000</x:v>
      </x:c>
      <x:c r="U54" s="18" t="n">
        <x:f>S54-T54</x:f>
        <x:v>3900</x:v>
      </x:c>
    </x:row>
    <x:row r="55">
      <x:c r="A55" s="11" t="str">
        <x:v>V-0045</x:v>
      </x:c>
      <x:c r="B55" s="14" t="n">
        <x:v>46046</x:v>
      </x:c>
      <x:c r="C55" s="11" t="str">
        <x:v>Cali</x:v>
      </x:c>
      <x:c r="D55" s="11" t="str">
        <x:v>Web</x:v>
      </x:c>
      <x:c r="E55" s="11" t="str">
        <x:v>Bebidas</x:v>
      </x:c>
      <x:c r="F55" s="11" t="str">
        <x:v>Bebida fría</x:v>
      </x:c>
      <x:c r="G55" s="11" t="str">
        <x:v>C-0105</x:v>
      </x:c>
      <x:c r="H55" s="11" t="str">
        <x:v>Recurrente</x:v>
      </x:c>
      <x:c r="I55" s="11" t="n">
        <x:v>3</x:v>
      </x:c>
      <x:c r="J55" s="18" t="n">
        <x:v>6500</x:v>
      </x:c>
      <x:c r="K55" s="16" t="n">
        <x:v>0.1</x:v>
      </x:c>
      <x:c r="L55" s="18" t="n">
        <x:v>3200</x:v>
      </x:c>
      <x:c r="M55" s="11" t="str">
        <x:v>Tarjeta</x:v>
      </x:c>
      <x:c r="N55" s="11" t="n">
        <x:v>35</x:v>
      </x:c>
      <x:c r="O55" s="11" t="str">
        <x:v>A tiempo</x:v>
      </x:c>
      <x:c r="P55" s="20" t="n">
        <x:v>5</x:v>
      </x:c>
      <x:c r="Q55" s="18" t="n">
        <x:f>I55*J55</x:f>
        <x:v>19500</x:v>
      </x:c>
      <x:c r="R55" s="18" t="n">
        <x:f>Q55*K55</x:f>
        <x:v>1950</x:v>
      </x:c>
      <x:c r="S55" s="18" t="n">
        <x:f>Q55-R55</x:f>
        <x:v>17550</x:v>
      </x:c>
      <x:c r="T55" s="18" t="n">
        <x:f>I55*L55</x:f>
        <x:v>9600</x:v>
      </x:c>
      <x:c r="U55" s="18" t="n">
        <x:f>S55-T55</x:f>
        <x:v>7950</x:v>
      </x:c>
    </x:row>
    <x:row r="56">
      <x:c r="A56" s="11" t="str">
        <x:v>V-0122</x:v>
      </x:c>
      <x:c r="B56" s="14" t="n">
        <x:v>46046</x:v>
      </x:c>
      <x:c r="C56" s="11" t="str">
        <x:v>Bogotá</x:v>
      </x:c>
      <x:c r="D56" s="11" t="str">
        <x:v>Web</x:v>
      </x:c>
      <x:c r="E56" s="11" t="str">
        <x:v>Alimentos</x:v>
      </x:c>
      <x:c r="F56" s="11" t="str">
        <x:v>Snack saludable</x:v>
      </x:c>
      <x:c r="G56" s="11" t="str">
        <x:v>C-0051</x:v>
      </x:c>
      <x:c r="H56" s="11" t="str">
        <x:v>Recurrente</x:v>
      </x:c>
      <x:c r="I56" s="11" t="n">
        <x:v>3</x:v>
      </x:c>
      <x:c r="J56" s="18" t="n">
        <x:v>8500</x:v>
      </x:c>
      <x:c r="K56" s="16" t="n">
        <x:v>0.05</x:v>
      </x:c>
      <x:c r="L56" s="18" t="n">
        <x:v>4700</x:v>
      </x:c>
      <x:c r="M56" s="11" t="str">
        <x:v>Billetera digital</x:v>
      </x:c>
      <x:c r="N56" s="11" t="n">
        <x:v>67</x:v>
      </x:c>
      <x:c r="O56" s="11" t="str">
        <x:v>Tardía</x:v>
      </x:c>
      <x:c r="P56" s="20" t="n">
        <x:v>4</x:v>
      </x:c>
      <x:c r="Q56" s="18" t="n">
        <x:f>I56*J56</x:f>
        <x:v>25500</x:v>
      </x:c>
      <x:c r="R56" s="18" t="n">
        <x:f>Q56*K56</x:f>
        <x:v>1275</x:v>
      </x:c>
      <x:c r="S56" s="18" t="n">
        <x:f>Q56-R56</x:f>
        <x:v>24225</x:v>
      </x:c>
      <x:c r="T56" s="18" t="n">
        <x:f>I56*L56</x:f>
        <x:v>14100</x:v>
      </x:c>
      <x:c r="U56" s="18" t="n">
        <x:f>S56-T56</x:f>
        <x:v>10125</x:v>
      </x:c>
    </x:row>
    <x:row r="57">
      <x:c r="A57" s="11" t="str">
        <x:v>V-0306</x:v>
      </x:c>
      <x:c r="B57" s="14" t="n">
        <x:v>46047</x:v>
      </x:c>
      <x:c r="C57" s="11" t="str">
        <x:v>Medellín</x:v>
      </x:c>
      <x:c r="D57" s="11" t="str">
        <x:v>Tienda</x:v>
      </x:c>
      <x:c r="E57" s="11" t="str">
        <x:v>Bebidas</x:v>
      </x:c>
      <x:c r="F57" s="11" t="str">
        <x:v>Bebida premium</x:v>
      </x:c>
      <x:c r="G57" s="11" t="str">
        <x:v>C-0083</x:v>
      </x:c>
      <x:c r="H57" s="11" t="str">
        <x:v>Recurrente</x:v>
      </x:c>
      <x:c r="I57" s="11" t="n">
        <x:v>5</x:v>
      </x:c>
      <x:c r="J57" s="18" t="n">
        <x:v>15100</x:v>
      </x:c>
      <x:c r="K57" s="16" t="n">
        <x:v>0.1</x:v>
      </x:c>
      <x:c r="L57" s="18" t="n">
        <x:v>8400</x:v>
      </x:c>
      <x:c r="M57" s="11" t="str">
        <x:v>Efectivo</x:v>
      </x:c>
      <x:c r="N57" s="11" t="n">
        <x:v>0</x:v>
      </x:c>
      <x:c r="O57" s="11" t="str">
        <x:v>No aplica</x:v>
      </x:c>
      <x:c r="P57" s="20" t="n">
        <x:v>5</x:v>
      </x:c>
      <x:c r="Q57" s="18" t="n">
        <x:f>I57*J57</x:f>
        <x:v>75500</x:v>
      </x:c>
      <x:c r="R57" s="18" t="n">
        <x:f>Q57*K57</x:f>
        <x:v>7550</x:v>
      </x:c>
      <x:c r="S57" s="18" t="n">
        <x:f>Q57-R57</x:f>
        <x:v>67950</x:v>
      </x:c>
      <x:c r="T57" s="18" t="n">
        <x:f>I57*L57</x:f>
        <x:v>42000</x:v>
      </x:c>
      <x:c r="U57" s="18" t="n">
        <x:f>S57-T57</x:f>
        <x:v>25950</x:v>
      </x:c>
    </x:row>
    <x:row r="58">
      <x:c r="A58" s="11" t="str">
        <x:v>V-0242</x:v>
      </x:c>
      <x:c r="B58" s="14" t="n">
        <x:v>46048</x:v>
      </x:c>
      <x:c r="C58" s="11" t="str">
        <x:v>Bogotá</x:v>
      </x:c>
      <x:c r="D58" s="11" t="str">
        <x:v>Web</x:v>
      </x:c>
      <x:c r="E58" s="11" t="str">
        <x:v>Bebidas</x:v>
      </x:c>
      <x:c r="F58" s="11" t="str">
        <x:v>Bebida fría</x:v>
      </x:c>
      <x:c r="G58" s="11" t="str">
        <x:v>C-0106</x:v>
      </x:c>
      <x:c r="H58" s="11" t="str">
        <x:v>Recurrente</x:v>
      </x:c>
      <x:c r="I58" s="11" t="n">
        <x:v>4</x:v>
      </x:c>
      <x:c r="J58" s="18" t="n">
        <x:v>6500</x:v>
      </x:c>
      <x:c r="K58" s="16" t="n">
        <x:v>0.05</x:v>
      </x:c>
      <x:c r="L58" s="18" t="n">
        <x:v>3400</x:v>
      </x:c>
      <x:c r="M58" s="11" t="str">
        <x:v>Billetera digital</x:v>
      </x:c>
      <x:c r="N58" s="11" t="n">
        <x:v>63</x:v>
      </x:c>
      <x:c r="O58" s="11" t="str">
        <x:v>Tardía</x:v>
      </x:c>
      <x:c r="P58" s="20" t="n">
        <x:v>3</x:v>
      </x:c>
      <x:c r="Q58" s="18" t="n">
        <x:f>I58*J58</x:f>
        <x:v>26000</x:v>
      </x:c>
      <x:c r="R58" s="18" t="n">
        <x:f>Q58*K58</x:f>
        <x:v>1300</x:v>
      </x:c>
      <x:c r="S58" s="18" t="n">
        <x:f>Q58-R58</x:f>
        <x:v>24700</x:v>
      </x:c>
      <x:c r="T58" s="18" t="n">
        <x:f>I58*L58</x:f>
        <x:v>13600</x:v>
      </x:c>
      <x:c r="U58" s="18" t="n">
        <x:f>S58-T58</x:f>
        <x:v>11100</x:v>
      </x:c>
    </x:row>
    <x:row r="59">
      <x:c r="A59" s="11" t="str">
        <x:v>V-0012</x:v>
      </x:c>
      <x:c r="B59" s="14" t="n">
        <x:v>46049</x:v>
      </x:c>
      <x:c r="C59" s="11" t="str">
        <x:v>Cali</x:v>
      </x:c>
      <x:c r="D59" s="11" t="str">
        <x:v>Web</x:v>
      </x:c>
      <x:c r="E59" s="11" t="str">
        <x:v>Bebidas</x:v>
      </x:c>
      <x:c r="F59" s="11" t="str">
        <x:v>Bebida fría</x:v>
      </x:c>
      <x:c r="G59" s="11" t="str">
        <x:v>C-0095</x:v>
      </x:c>
      <x:c r="H59" s="11" t="str">
        <x:v>Nuevo</x:v>
      </x:c>
      <x:c r="I59" s="11" t="n">
        <x:v>6</x:v>
      </x:c>
      <x:c r="J59" s="18" t="n">
        <x:v>6800</x:v>
      </x:c>
      <x:c r="K59" s="16" t="n">
        <x:v>0.1</x:v>
      </x:c>
      <x:c r="L59" s="18" t="n">
        <x:v>3700</x:v>
      </x:c>
      <x:c r="M59" s="11" t="str">
        <x:v>Transferencia</x:v>
      </x:c>
      <x:c r="N59" s="11" t="n">
        <x:v>64</x:v>
      </x:c>
      <x:c r="O59" s="11" t="str">
        <x:v>Tardía</x:v>
      </x:c>
      <x:c r="P59" s="20" t="n">
        <x:v>3</x:v>
      </x:c>
      <x:c r="Q59" s="18" t="n">
        <x:f>I59*J59</x:f>
        <x:v>40800</x:v>
      </x:c>
      <x:c r="R59" s="18" t="n">
        <x:f>Q59*K59</x:f>
        <x:v>4080</x:v>
      </x:c>
      <x:c r="S59" s="18" t="n">
        <x:f>Q59-R59</x:f>
        <x:v>36720</x:v>
      </x:c>
      <x:c r="T59" s="18" t="n">
        <x:f>I59*L59</x:f>
        <x:v>22200</x:v>
      </x:c>
      <x:c r="U59" s="18" t="n">
        <x:f>S59-T59</x:f>
        <x:v>14520</x:v>
      </x:c>
    </x:row>
    <x:row r="60">
      <x:c r="A60" s="11" t="str">
        <x:v>V-0443</x:v>
      </x:c>
      <x:c r="B60" s="14" t="n">
        <x:v>46049</x:v>
      </x:c>
      <x:c r="C60" s="11" t="str">
        <x:v>Neiva</x:v>
      </x:c>
      <x:c r="D60" s="11" t="str">
        <x:v>App</x:v>
      </x:c>
      <x:c r="E60" s="11" t="str">
        <x:v>Hogar</x:v>
      </x:c>
      <x:c r="F60" s="11" t="str">
        <x:v>Kit limpieza</x:v>
      </x:c>
      <x:c r="G60" s="11" t="str">
        <x:v>C-0035</x:v>
      </x:c>
      <x:c r="H60" s="11" t="str">
        <x:v>Recurrente</x:v>
      </x:c>
      <x:c r="I60" s="11" t="n">
        <x:v>1</x:v>
      </x:c>
      <x:c r="J60" s="18" t="n">
        <x:v>26400</x:v>
      </x:c>
      <x:c r="K60" s="16" t="n">
        <x:v>0.1</x:v>
      </x:c>
      <x:c r="L60" s="18" t="n">
        <x:v>15000</x:v>
      </x:c>
      <x:c r="M60" s="11" t="str">
        <x:v>Billetera digital</x:v>
      </x:c>
      <x:c r="N60" s="11" t="n">
        <x:v>45</x:v>
      </x:c>
      <x:c r="O60" s="11" t="str">
        <x:v>A tiempo</x:v>
      </x:c>
      <x:c r="P60" s="20" t="n">
        <x:v>5</x:v>
      </x:c>
      <x:c r="Q60" s="18" t="n">
        <x:f>I60*J60</x:f>
        <x:v>26400</x:v>
      </x:c>
      <x:c r="R60" s="18" t="n">
        <x:f>Q60*K60</x:f>
        <x:v>2640</x:v>
      </x:c>
      <x:c r="S60" s="18" t="n">
        <x:f>Q60-R60</x:f>
        <x:v>23760</x:v>
      </x:c>
      <x:c r="T60" s="18" t="n">
        <x:f>I60*L60</x:f>
        <x:v>15000</x:v>
      </x:c>
      <x:c r="U60" s="18" t="n">
        <x:f>S60-T60</x:f>
        <x:v>8760</x:v>
      </x:c>
    </x:row>
    <x:row r="61">
      <x:c r="A61" s="11" t="str">
        <x:v>V-0111</x:v>
      </x:c>
      <x:c r="B61" s="14" t="n">
        <x:v>46051</x:v>
      </x:c>
      <x:c r="C61" s="11" t="str">
        <x:v>Medellín</x:v>
      </x:c>
      <x:c r="D61" s="11" t="str">
        <x:v>Tienda</x:v>
      </x:c>
      <x:c r="E61" s="11" t="str">
        <x:v>Hogar</x:v>
      </x:c>
      <x:c r="F61" s="11" t="str">
        <x:v>Organizador</x:v>
      </x:c>
      <x:c r="G61" s="11" t="str">
        <x:v>C-0046</x:v>
      </x:c>
      <x:c r="H61" s="11" t="str">
        <x:v>Recurrente</x:v>
      </x:c>
      <x:c r="I61" s="11" t="n">
        <x:v>2</x:v>
      </x:c>
      <x:c r="J61" s="18" t="n">
        <x:v>36500</x:v>
      </x:c>
      <x:c r="K61" s="16" t="n">
        <x:v>0</x:v>
      </x:c>
      <x:c r="L61" s="18" t="n">
        <x:v>22500</x:v>
      </x:c>
      <x:c r="M61" s="11" t="str">
        <x:v>Tarjeta</x:v>
      </x:c>
      <x:c r="N61" s="11" t="n">
        <x:v>0</x:v>
      </x:c>
      <x:c r="O61" s="11" t="str">
        <x:v>No aplica</x:v>
      </x:c>
      <x:c r="P61" s="20" t="n">
        <x:v>5</x:v>
      </x:c>
      <x:c r="Q61" s="18" t="n">
        <x:f>I61*J61</x:f>
        <x:v>73000</x:v>
      </x:c>
      <x:c r="R61" s="18" t="n">
        <x:f>Q61*K61</x:f>
        <x:v>0</x:v>
      </x:c>
      <x:c r="S61" s="18" t="n">
        <x:f>Q61-R61</x:f>
        <x:v>73000</x:v>
      </x:c>
      <x:c r="T61" s="18" t="n">
        <x:f>I61*L61</x:f>
        <x:v>45000</x:v>
      </x:c>
      <x:c r="U61" s="18" t="n">
        <x:f>S61-T61</x:f>
        <x:v>28000</x:v>
      </x:c>
    </x:row>
    <x:row r="62">
      <x:c r="A62" s="11" t="str">
        <x:v>V-0399</x:v>
      </x:c>
      <x:c r="B62" s="14" t="n">
        <x:v>46051</x:v>
      </x:c>
      <x:c r="C62" s="11" t="str">
        <x:v>Bogotá</x:v>
      </x:c>
      <x:c r="D62" s="11" t="str">
        <x:v>Web</x:v>
      </x:c>
      <x:c r="E62" s="11" t="str">
        <x:v>Cuidado personal</x:v>
      </x:c>
      <x:c r="F62" s="11" t="str">
        <x:v>Kit cuidado</x:v>
      </x:c>
      <x:c r="G62" s="11" t="str">
        <x:v>C-0045</x:v>
      </x:c>
      <x:c r="H62" s="11" t="str">
        <x:v>Recurrente</x:v>
      </x:c>
      <x:c r="I62" s="11" t="n">
        <x:v>5</x:v>
      </x:c>
      <x:c r="J62" s="18" t="n">
        <x:v>44900</x:v>
      </x:c>
      <x:c r="K62" s="16" t="n">
        <x:v>0</x:v>
      </x:c>
      <x:c r="L62" s="18" t="n">
        <x:v>27600</x:v>
      </x:c>
      <x:c r="M62" s="11" t="str">
        <x:v>Transferencia</x:v>
      </x:c>
      <x:c r="N62" s="11" t="n">
        <x:v>93</x:v>
      </x:c>
      <x:c r="O62" s="11" t="str">
        <x:v>Tardía</x:v>
      </x:c>
      <x:c r="P62" s="20" t="n">
        <x:v>4</x:v>
      </x:c>
      <x:c r="Q62" s="18" t="n">
        <x:f>I62*J62</x:f>
        <x:v>224500</x:v>
      </x:c>
      <x:c r="R62" s="18" t="n">
        <x:f>Q62*K62</x:f>
        <x:v>0</x:v>
      </x:c>
      <x:c r="S62" s="18" t="n">
        <x:f>Q62-R62</x:f>
        <x:v>224500</x:v>
      </x:c>
      <x:c r="T62" s="18" t="n">
        <x:f>I62*L62</x:f>
        <x:v>138000</x:v>
      </x:c>
      <x:c r="U62" s="18" t="n">
        <x:f>S62-T62</x:f>
        <x:v>86500</x:v>
      </x:c>
    </x:row>
    <x:row r="63">
      <x:c r="A63" s="11" t="str">
        <x:v>V-0423</x:v>
      </x:c>
      <x:c r="B63" s="14" t="n">
        <x:v>46052</x:v>
      </x:c>
      <x:c r="C63" s="11" t="str">
        <x:v>Cali</x:v>
      </x:c>
      <x:c r="D63" s="11" t="str">
        <x:v>Tienda</x:v>
      </x:c>
      <x:c r="E63" s="11" t="str">
        <x:v>Hogar</x:v>
      </x:c>
      <x:c r="F63" s="11" t="str">
        <x:v>Kit limpieza</x:v>
      </x:c>
      <x:c r="G63" s="11" t="str">
        <x:v>C-0102</x:v>
      </x:c>
      <x:c r="H63" s="11" t="str">
        <x:v>Recurrente</x:v>
      </x:c>
      <x:c r="I63" s="11" t="n">
        <x:v>5</x:v>
      </x:c>
      <x:c r="J63" s="18" t="n">
        <x:v>24600</x:v>
      </x:c>
      <x:c r="K63" s="16" t="n">
        <x:v>0.05</x:v>
      </x:c>
      <x:c r="L63" s="18" t="n">
        <x:v>14400</x:v>
      </x:c>
      <x:c r="M63" s="11" t="str">
        <x:v>Efectivo</x:v>
      </x:c>
      <x:c r="N63" s="11" t="n">
        <x:v>0</x:v>
      </x:c>
      <x:c r="O63" s="11" t="str">
        <x:v>No aplica</x:v>
      </x:c>
      <x:c r="P63" s="20" t="n">
        <x:v>3</x:v>
      </x:c>
      <x:c r="Q63" s="18" t="n">
        <x:f>I63*J63</x:f>
        <x:v>123000</x:v>
      </x:c>
      <x:c r="R63" s="18" t="n">
        <x:f>Q63*K63</x:f>
        <x:v>6150</x:v>
      </x:c>
      <x:c r="S63" s="18" t="n">
        <x:f>Q63-R63</x:f>
        <x:v>116850</x:v>
      </x:c>
      <x:c r="T63" s="18" t="n">
        <x:f>I63*L63</x:f>
        <x:v>72000</x:v>
      </x:c>
      <x:c r="U63" s="18" t="n">
        <x:f>S63-T63</x:f>
        <x:v>44850</x:v>
      </x:c>
    </x:row>
    <x:row r="64">
      <x:c r="A64" s="11" t="str">
        <x:v>V-0038</x:v>
      </x:c>
      <x:c r="B64" s="14" t="n">
        <x:v>46053</x:v>
      </x:c>
      <x:c r="C64" s="11" t="str">
        <x:v>Ibagué</x:v>
      </x:c>
      <x:c r="D64" s="11" t="str">
        <x:v>Web</x:v>
      </x:c>
      <x:c r="E64" s="11" t="str">
        <x:v>Alimentos</x:v>
      </x:c>
      <x:c r="F64" s="11" t="str">
        <x:v>Combo almuerzo</x:v>
      </x:c>
      <x:c r="G64" s="11" t="str">
        <x:v>C-0112</x:v>
      </x:c>
      <x:c r="H64" s="11" t="str">
        <x:v>Recurrente</x:v>
      </x:c>
      <x:c r="I64" s="11" t="n">
        <x:v>2</x:v>
      </x:c>
      <x:c r="J64" s="18" t="n">
        <x:v>24000</x:v>
      </x:c>
      <x:c r="K64" s="16" t="n">
        <x:v>0.1</x:v>
      </x:c>
      <x:c r="L64" s="18" t="n">
        <x:v>14500</x:v>
      </x:c>
      <x:c r="M64" s="11" t="str">
        <x:v>Tarjeta</x:v>
      </x:c>
      <x:c r="N64" s="11" t="n">
        <x:v>42</x:v>
      </x:c>
      <x:c r="O64" s="11" t="str">
        <x:v>A tiempo</x:v>
      </x:c>
      <x:c r="P64" s="20" t="n">
        <x:v>5</x:v>
      </x:c>
      <x:c r="Q64" s="18" t="n">
        <x:f>I64*J64</x:f>
        <x:v>48000</x:v>
      </x:c>
      <x:c r="R64" s="18" t="n">
        <x:f>Q64*K64</x:f>
        <x:v>4800</x:v>
      </x:c>
      <x:c r="S64" s="18" t="n">
        <x:f>Q64-R64</x:f>
        <x:v>43200</x:v>
      </x:c>
      <x:c r="T64" s="18" t="n">
        <x:f>I64*L64</x:f>
        <x:v>29000</x:v>
      </x:c>
      <x:c r="U64" s="18" t="n">
        <x:f>S64-T64</x:f>
        <x:v>14200</x:v>
      </x:c>
    </x:row>
    <x:row r="65">
      <x:c r="A65" s="11" t="str">
        <x:v>V-0185</x:v>
      </x:c>
      <x:c r="B65" s="14" t="n">
        <x:v>46053</x:v>
      </x:c>
      <x:c r="C65" s="11" t="str">
        <x:v>Medellín</x:v>
      </x:c>
      <x:c r="D65" s="11" t="str">
        <x:v>Web</x:v>
      </x:c>
      <x:c r="E65" s="11" t="str">
        <x:v>Cuidado personal</x:v>
      </x:c>
      <x:c r="F65" s="11" t="str">
        <x:v>Accesorio personal</x:v>
      </x:c>
      <x:c r="G65" s="11" t="str">
        <x:v>C-0098</x:v>
      </x:c>
      <x:c r="H65" s="11" t="str">
        <x:v>Nuevo</x:v>
      </x:c>
      <x:c r="I65" s="11" t="n">
        <x:v>6</x:v>
      </x:c>
      <x:c r="J65" s="18" t="n">
        <x:v>17600</x:v>
      </x:c>
      <x:c r="K65" s="16" t="n">
        <x:v>0.15</x:v>
      </x:c>
      <x:c r="L65" s="18" t="n">
        <x:v>9900</x:v>
      </x:c>
      <x:c r="M65" s="11" t="str">
        <x:v>Transferencia</x:v>
      </x:c>
      <x:c r="N65" s="11" t="n">
        <x:v>78</x:v>
      </x:c>
      <x:c r="O65" s="11" t="str">
        <x:v>Tardía</x:v>
      </x:c>
      <x:c r="P65" s="20" t="n">
        <x:v>4</x:v>
      </x:c>
      <x:c r="Q65" s="18" t="n">
        <x:f>I65*J65</x:f>
        <x:v>105600</x:v>
      </x:c>
      <x:c r="R65" s="18" t="n">
        <x:f>Q65*K65</x:f>
        <x:v>15840</x:v>
      </x:c>
      <x:c r="S65" s="18" t="n">
        <x:f>Q65-R65</x:f>
        <x:v>89760</x:v>
      </x:c>
      <x:c r="T65" s="18" t="n">
        <x:f>I65*L65</x:f>
        <x:v>59400</x:v>
      </x:c>
      <x:c r="U65" s="18" t="n">
        <x:f>S65-T65</x:f>
        <x:v>30360</x:v>
      </x:c>
    </x:row>
    <x:row r="66">
      <x:c r="A66" s="11" t="str">
        <x:v>V-0338</x:v>
      </x:c>
      <x:c r="B66" s="14" t="n">
        <x:v>46053</x:v>
      </x:c>
      <x:c r="C66" s="11" t="str">
        <x:v>Cali</x:v>
      </x:c>
      <x:c r="D66" s="11" t="str">
        <x:v>App</x:v>
      </x:c>
      <x:c r="E66" s="11" t="str">
        <x:v>Hogar</x:v>
      </x:c>
      <x:c r="F66" s="11" t="str">
        <x:v>Kit limpieza</x:v>
      </x:c>
      <x:c r="G66" s="11" t="str">
        <x:v>C-0032</x:v>
      </x:c>
      <x:c r="H66" s="11" t="str">
        <x:v>Recurrente</x:v>
      </x:c>
      <x:c r="I66" s="11" t="n">
        <x:v>1</x:v>
      </x:c>
      <x:c r="J66" s="18" t="n">
        <x:v>22600</x:v>
      </x:c>
      <x:c r="K66" s="16" t="n">
        <x:v>0.15</x:v>
      </x:c>
      <x:c r="L66" s="18" t="n">
        <x:v>12700</x:v>
      </x:c>
      <x:c r="M66" s="11" t="str">
        <x:v>Transferencia</x:v>
      </x:c>
      <x:c r="N66" s="11" t="n">
        <x:v>103</x:v>
      </x:c>
      <x:c r="O66" s="11" t="str">
        <x:v>Tardía</x:v>
      </x:c>
      <x:c r="P66" s="20" t="n">
        <x:v>4</x:v>
      </x:c>
      <x:c r="Q66" s="18" t="n">
        <x:f>I66*J66</x:f>
        <x:v>22600</x:v>
      </x:c>
      <x:c r="R66" s="18" t="n">
        <x:f>Q66*K66</x:f>
        <x:v>3390</x:v>
      </x:c>
      <x:c r="S66" s="18" t="n">
        <x:f>Q66-R66</x:f>
        <x:v>19210</x:v>
      </x:c>
      <x:c r="T66" s="18" t="n">
        <x:f>I66*L66</x:f>
        <x:v>12700</x:v>
      </x:c>
      <x:c r="U66" s="18" t="n">
        <x:f>S66-T66</x:f>
        <x:v>6510</x:v>
      </x:c>
    </x:row>
    <x:row r="67">
      <x:c r="A67" s="11" t="str">
        <x:v>V-0453</x:v>
      </x:c>
      <x:c r="B67" s="14" t="n">
        <x:v>46054</x:v>
      </x:c>
      <x:c r="C67" s="11" t="str">
        <x:v>Ibagué</x:v>
      </x:c>
      <x:c r="D67" s="11" t="str">
        <x:v>Web</x:v>
      </x:c>
      <x:c r="E67" s="11" t="str">
        <x:v>Cuidado personal</x:v>
      </x:c>
      <x:c r="F67" s="11" t="str">
        <x:v>Producto bienestar</x:v>
      </x:c>
      <x:c r="G67" s="11" t="str">
        <x:v>C-0105</x:v>
      </x:c>
      <x:c r="H67" s="11" t="str">
        <x:v>Recurrente</x:v>
      </x:c>
      <x:c r="I67" s="11" t="n">
        <x:v>1</x:v>
      </x:c>
      <x:c r="J67" s="18" t="n">
        <x:v>35400</x:v>
      </x:c>
      <x:c r="K67" s="16" t="n">
        <x:v>0</x:v>
      </x:c>
      <x:c r="L67" s="18" t="n">
        <x:v>20300</x:v>
      </x:c>
      <x:c r="M67" s="11" t="str">
        <x:v>Transferencia</x:v>
      </x:c>
      <x:c r="N67" s="11" t="n">
        <x:v>59</x:v>
      </x:c>
      <x:c r="O67" s="11" t="str">
        <x:v>A tiempo</x:v>
      </x:c>
      <x:c r="P67" s="20" t="n">
        <x:v>2</x:v>
      </x:c>
      <x:c r="Q67" s="18" t="n">
        <x:f>I67*J67</x:f>
        <x:v>35400</x:v>
      </x:c>
      <x:c r="R67" s="18" t="n">
        <x:f>Q67*K67</x:f>
        <x:v>0</x:v>
      </x:c>
      <x:c r="S67" s="18" t="n">
        <x:f>Q67-R67</x:f>
        <x:v>35400</x:v>
      </x:c>
      <x:c r="T67" s="18" t="n">
        <x:f>I67*L67</x:f>
        <x:v>20300</x:v>
      </x:c>
      <x:c r="U67" s="18" t="n">
        <x:f>S67-T67</x:f>
        <x:v>15100</x:v>
      </x:c>
    </x:row>
    <x:row r="68">
      <x:c r="A68" s="11" t="str">
        <x:v>V-0422</x:v>
      </x:c>
      <x:c r="B68" s="14" t="n">
        <x:v>46055</x:v>
      </x:c>
      <x:c r="C68" s="11" t="str">
        <x:v>Neiva</x:v>
      </x:c>
      <x:c r="D68" s="11" t="str">
        <x:v>App</x:v>
      </x:c>
      <x:c r="E68" s="11" t="str">
        <x:v>Hogar</x:v>
      </x:c>
      <x:c r="F68" s="11" t="str">
        <x:v>Kit limpieza</x:v>
      </x:c>
      <x:c r="G68" s="11" t="str">
        <x:v>C-0084</x:v>
      </x:c>
      <x:c r="H68" s="11" t="str">
        <x:v>Recurrente</x:v>
      </x:c>
      <x:c r="I68" s="11" t="n">
        <x:v>2</x:v>
      </x:c>
      <x:c r="J68" s="18" t="n">
        <x:v>22600</x:v>
      </x:c>
      <x:c r="K68" s="16" t="n">
        <x:v>0</x:v>
      </x:c>
      <x:c r="L68" s="18" t="n">
        <x:v>13400</x:v>
      </x:c>
      <x:c r="M68" s="11" t="str">
        <x:v>Billetera digital</x:v>
      </x:c>
      <x:c r="N68" s="11" t="n">
        <x:v>27</x:v>
      </x:c>
      <x:c r="O68" s="11" t="str">
        <x:v>A tiempo</x:v>
      </x:c>
      <x:c r="P68" s="20" t="n">
        <x:v>4</x:v>
      </x:c>
      <x:c r="Q68" s="18" t="n">
        <x:f>I68*J68</x:f>
        <x:v>45200</x:v>
      </x:c>
      <x:c r="R68" s="18" t="n">
        <x:f>Q68*K68</x:f>
        <x:v>0</x:v>
      </x:c>
      <x:c r="S68" s="18" t="n">
        <x:f>Q68-R68</x:f>
        <x:v>45200</x:v>
      </x:c>
      <x:c r="T68" s="18" t="n">
        <x:f>I68*L68</x:f>
        <x:v>26800</x:v>
      </x:c>
      <x:c r="U68" s="18" t="n">
        <x:f>S68-T68</x:f>
        <x:v>18400</x:v>
      </x:c>
    </x:row>
    <x:row r="69">
      <x:c r="A69" s="11" t="str">
        <x:v>V-0100</x:v>
      </x:c>
      <x:c r="B69" s="14" t="n">
        <x:v>46056</x:v>
      </x:c>
      <x:c r="C69" s="11" t="str">
        <x:v>Ibagué</x:v>
      </x:c>
      <x:c r="D69" s="11" t="str">
        <x:v>Web</x:v>
      </x:c>
      <x:c r="E69" s="11" t="str">
        <x:v>Bebidas</x:v>
      </x:c>
      <x:c r="F69" s="11" t="str">
        <x:v>Bebida premium</x:v>
      </x:c>
      <x:c r="G69" s="11" t="str">
        <x:v>C-0063</x:v>
      </x:c>
      <x:c r="H69" s="11" t="str">
        <x:v>Recurrente</x:v>
      </x:c>
      <x:c r="I69" s="11" t="n">
        <x:v>3</x:v>
      </x:c>
      <x:c r="J69" s="18" t="n">
        <x:v>14800</x:v>
      </x:c>
      <x:c r="K69" s="16" t="n">
        <x:v>0.05</x:v>
      </x:c>
      <x:c r="L69" s="18" t="n">
        <x:v>8700</x:v>
      </x:c>
      <x:c r="M69" s="11" t="str">
        <x:v>Tarjeta</x:v>
      </x:c>
      <x:c r="N69" s="11" t="n">
        <x:v>32</x:v>
      </x:c>
      <x:c r="O69" s="11" t="str">
        <x:v>A tiempo</x:v>
      </x:c>
      <x:c r="P69" s="20" t="n">
        <x:v>5</x:v>
      </x:c>
      <x:c r="Q69" s="18" t="n">
        <x:f>I69*J69</x:f>
        <x:v>44400</x:v>
      </x:c>
      <x:c r="R69" s="18" t="n">
        <x:f>Q69*K69</x:f>
        <x:v>2220</x:v>
      </x:c>
      <x:c r="S69" s="18" t="n">
        <x:f>Q69-R69</x:f>
        <x:v>42180</x:v>
      </x:c>
      <x:c r="T69" s="18" t="n">
        <x:f>I69*L69</x:f>
        <x:v>26100</x:v>
      </x:c>
      <x:c r="U69" s="18" t="n">
        <x:f>S69-T69</x:f>
        <x:v>16080</x:v>
      </x:c>
    </x:row>
    <x:row r="70">
      <x:c r="A70" s="11" t="str">
        <x:v>V-0142</x:v>
      </x:c>
      <x:c r="B70" s="14" t="n">
        <x:v>46056</x:v>
      </x:c>
      <x:c r="C70" s="11" t="str">
        <x:v>Cali</x:v>
      </x:c>
      <x:c r="D70" s="11" t="str">
        <x:v>Web</x:v>
      </x:c>
      <x:c r="E70" s="11" t="str">
        <x:v>Alimentos</x:v>
      </x:c>
      <x:c r="F70" s="11" t="str">
        <x:v>Snack saludable</x:v>
      </x:c>
      <x:c r="G70" s="11" t="str">
        <x:v>C-0032</x:v>
      </x:c>
      <x:c r="H70" s="11" t="str">
        <x:v>Nuevo</x:v>
      </x:c>
      <x:c r="I70" s="11" t="n">
        <x:v>2</x:v>
      </x:c>
      <x:c r="J70" s="18" t="n">
        <x:v>8700</x:v>
      </x:c>
      <x:c r="K70" s="16" t="n">
        <x:v>0.1</x:v>
      </x:c>
      <x:c r="L70" s="18" t="n">
        <x:v>5000</x:v>
      </x:c>
      <x:c r="M70" s="11" t="str">
        <x:v>Tarjeta</x:v>
      </x:c>
      <x:c r="N70" s="11" t="n">
        <x:v>52</x:v>
      </x:c>
      <x:c r="O70" s="11" t="str">
        <x:v>A tiempo</x:v>
      </x:c>
      <x:c r="P70" s="20" t="n">
        <x:v>4</x:v>
      </x:c>
      <x:c r="Q70" s="18" t="n">
        <x:f>I70*J70</x:f>
        <x:v>17400</x:v>
      </x:c>
      <x:c r="R70" s="18" t="n">
        <x:f>Q70*K70</x:f>
        <x:v>1740</x:v>
      </x:c>
      <x:c r="S70" s="18" t="n">
        <x:f>Q70-R70</x:f>
        <x:v>15660</x:v>
      </x:c>
      <x:c r="T70" s="18" t="n">
        <x:f>I70*L70</x:f>
        <x:v>10000</x:v>
      </x:c>
      <x:c r="U70" s="18" t="n">
        <x:f>S70-T70</x:f>
        <x:v>5660</x:v>
      </x:c>
    </x:row>
    <x:row r="71">
      <x:c r="A71" s="11" t="str">
        <x:v>V-0312</x:v>
      </x:c>
      <x:c r="B71" s="14" t="n">
        <x:v>46056</x:v>
      </x:c>
      <x:c r="C71" s="11" t="str">
        <x:v>Neiva</x:v>
      </x:c>
      <x:c r="D71" s="11" t="str">
        <x:v>Web</x:v>
      </x:c>
      <x:c r="E71" s="11" t="str">
        <x:v>Alimentos</x:v>
      </x:c>
      <x:c r="F71" s="11" t="str">
        <x:v>Producto gourmet</x:v>
      </x:c>
      <x:c r="G71" s="11" t="str">
        <x:v>C-0023</x:v>
      </x:c>
      <x:c r="H71" s="11" t="str">
        <x:v>Recurrente</x:v>
      </x:c>
      <x:c r="I71" s="11" t="n">
        <x:v>2</x:v>
      </x:c>
      <x:c r="J71" s="18" t="n">
        <x:v>30300</x:v>
      </x:c>
      <x:c r="K71" s="16" t="n">
        <x:v>0.1</x:v>
      </x:c>
      <x:c r="L71" s="18" t="n">
        <x:v>19500</x:v>
      </x:c>
      <x:c r="M71" s="11" t="str">
        <x:v>Tarjeta</x:v>
      </x:c>
      <x:c r="N71" s="11" t="n">
        <x:v>51</x:v>
      </x:c>
      <x:c r="O71" s="11" t="str">
        <x:v>A tiempo</x:v>
      </x:c>
      <x:c r="P71" s="20" t="n">
        <x:v>5</x:v>
      </x:c>
      <x:c r="Q71" s="18" t="n">
        <x:f>I71*J71</x:f>
        <x:v>60600</x:v>
      </x:c>
      <x:c r="R71" s="18" t="n">
        <x:f>Q71*K71</x:f>
        <x:v>6060</x:v>
      </x:c>
      <x:c r="S71" s="18" t="n">
        <x:f>Q71-R71</x:f>
        <x:v>54540</x:v>
      </x:c>
      <x:c r="T71" s="18" t="n">
        <x:f>I71*L71</x:f>
        <x:v>39000</x:v>
      </x:c>
      <x:c r="U71" s="18" t="n">
        <x:f>S71-T71</x:f>
        <x:v>15540</x:v>
      </x:c>
    </x:row>
    <x:row r="72">
      <x:c r="A72" s="11" t="str">
        <x:v>V-0434</x:v>
      </x:c>
      <x:c r="B72" s="14" t="n">
        <x:v>46056</x:v>
      </x:c>
      <x:c r="C72" s="11" t="str">
        <x:v>Medellín</x:v>
      </x:c>
      <x:c r="D72" s="11" t="str">
        <x:v>Web</x:v>
      </x:c>
      <x:c r="E72" s="11" t="str">
        <x:v>Hogar</x:v>
      </x:c>
      <x:c r="F72" s="11" t="str">
        <x:v>Organizador</x:v>
      </x:c>
      <x:c r="G72" s="11" t="str">
        <x:v>C-0014</x:v>
      </x:c>
      <x:c r="H72" s="11" t="str">
        <x:v>Recurrente</x:v>
      </x:c>
      <x:c r="I72" s="11" t="n">
        <x:v>4</x:v>
      </x:c>
      <x:c r="J72" s="18" t="n">
        <x:v>39500</x:v>
      </x:c>
      <x:c r="K72" s="16" t="n">
        <x:v>0.05</x:v>
      </x:c>
      <x:c r="L72" s="18" t="n">
        <x:v>25000</x:v>
      </x:c>
      <x:c r="M72" s="11" t="str">
        <x:v>Tarjeta</x:v>
      </x:c>
      <x:c r="N72" s="11" t="n">
        <x:v>61</x:v>
      </x:c>
      <x:c r="O72" s="11" t="str">
        <x:v>Tardía</x:v>
      </x:c>
      <x:c r="P72" s="20" t="n">
        <x:v>4</x:v>
      </x:c>
      <x:c r="Q72" s="18" t="n">
        <x:f>I72*J72</x:f>
        <x:v>158000</x:v>
      </x:c>
      <x:c r="R72" s="18" t="n">
        <x:f>Q72*K72</x:f>
        <x:v>7900</x:v>
      </x:c>
      <x:c r="S72" s="18" t="n">
        <x:f>Q72-R72</x:f>
        <x:v>150100</x:v>
      </x:c>
      <x:c r="T72" s="18" t="n">
        <x:f>I72*L72</x:f>
        <x:v>100000</x:v>
      </x:c>
      <x:c r="U72" s="18" t="n">
        <x:f>S72-T72</x:f>
        <x:v>50100</x:v>
      </x:c>
    </x:row>
    <x:row r="73">
      <x:c r="A73" s="11" t="str">
        <x:v>V-0451</x:v>
      </x:c>
      <x:c r="B73" s="14" t="n">
        <x:v>46056</x:v>
      </x:c>
      <x:c r="C73" s="11" t="str">
        <x:v>Cali</x:v>
      </x:c>
      <x:c r="D73" s="11" t="str">
        <x:v>App</x:v>
      </x:c>
      <x:c r="E73" s="11" t="str">
        <x:v>Bebidas</x:v>
      </x:c>
      <x:c r="F73" s="11" t="str">
        <x:v>Bebida fría</x:v>
      </x:c>
      <x:c r="G73" s="11" t="str">
        <x:v>C-0002</x:v>
      </x:c>
      <x:c r="H73" s="11" t="str">
        <x:v>Recurrente</x:v>
      </x:c>
      <x:c r="I73" s="11" t="n">
        <x:v>4</x:v>
      </x:c>
      <x:c r="J73" s="18" t="n">
        <x:v>7300</x:v>
      </x:c>
      <x:c r="K73" s="16" t="n">
        <x:v>0</x:v>
      </x:c>
      <x:c r="L73" s="18" t="n">
        <x:v>3800</x:v>
      </x:c>
      <x:c r="M73" s="11" t="str">
        <x:v>Billetera digital</x:v>
      </x:c>
      <x:c r="N73" s="11" t="n">
        <x:v>50</x:v>
      </x:c>
      <x:c r="O73" s="11" t="str">
        <x:v>A tiempo</x:v>
      </x:c>
      <x:c r="P73" s="20" t="n">
        <x:v>5</x:v>
      </x:c>
      <x:c r="Q73" s="18" t="n">
        <x:f>I73*J73</x:f>
        <x:v>29200</x:v>
      </x:c>
      <x:c r="R73" s="18" t="n">
        <x:f>Q73*K73</x:f>
        <x:v>0</x:v>
      </x:c>
      <x:c r="S73" s="18" t="n">
        <x:f>Q73-R73</x:f>
        <x:v>29200</x:v>
      </x:c>
      <x:c r="T73" s="18" t="n">
        <x:f>I73*L73</x:f>
        <x:v>15200</x:v>
      </x:c>
      <x:c r="U73" s="18" t="n">
        <x:f>S73-T73</x:f>
        <x:v>14000</x:v>
      </x:c>
    </x:row>
    <x:row r="74">
      <x:c r="A74" s="11" t="str">
        <x:v>V-0310</x:v>
      </x:c>
      <x:c r="B74" s="14" t="n">
        <x:v>46057</x:v>
      </x:c>
      <x:c r="C74" s="11" t="str">
        <x:v>Ibagué</x:v>
      </x:c>
      <x:c r="D74" s="11" t="str">
        <x:v>Tienda</x:v>
      </x:c>
      <x:c r="E74" s="11" t="str">
        <x:v>Hogar</x:v>
      </x:c>
      <x:c r="F74" s="11" t="str">
        <x:v>Kit limpieza</x:v>
      </x:c>
      <x:c r="G74" s="11" t="str">
        <x:v>C-0069</x:v>
      </x:c>
      <x:c r="H74" s="11" t="str">
        <x:v>Recurrente</x:v>
      </x:c>
      <x:c r="I74" s="11" t="n">
        <x:v>3</x:v>
      </x:c>
      <x:c r="J74" s="18" t="n">
        <x:v>21600</x:v>
      </x:c>
      <x:c r="K74" s="16" t="n">
        <x:v>0.1</x:v>
      </x:c>
      <x:c r="L74" s="18" t="n">
        <x:v>12900</x:v>
      </x:c>
      <x:c r="M74" s="11" t="str">
        <x:v>Efectivo</x:v>
      </x:c>
      <x:c r="N74" s="11" t="n">
        <x:v>0</x:v>
      </x:c>
      <x:c r="O74" s="11" t="str">
        <x:v>No aplica</x:v>
      </x:c>
      <x:c r="P74" s="20" t="n">
        <x:v>4</x:v>
      </x:c>
      <x:c r="Q74" s="18" t="n">
        <x:f>I74*J74</x:f>
        <x:v>64800</x:v>
      </x:c>
      <x:c r="R74" s="18" t="n">
        <x:f>Q74*K74</x:f>
        <x:v>6480</x:v>
      </x:c>
      <x:c r="S74" s="18" t="n">
        <x:f>Q74-R74</x:f>
        <x:v>58320</x:v>
      </x:c>
      <x:c r="T74" s="18" t="n">
        <x:f>I74*L74</x:f>
        <x:v>38700</x:v>
      </x:c>
      <x:c r="U74" s="18" t="n">
        <x:f>S74-T74</x:f>
        <x:v>19620</x:v>
      </x:c>
    </x:row>
    <x:row r="75">
      <x:c r="A75" s="11" t="str">
        <x:v>V-0473</x:v>
      </x:c>
      <x:c r="B75" s="14" t="n">
        <x:v>46057</x:v>
      </x:c>
      <x:c r="C75" s="11" t="str">
        <x:v>Ibagué</x:v>
      </x:c>
      <x:c r="D75" s="11" t="str">
        <x:v>App</x:v>
      </x:c>
      <x:c r="E75" s="11" t="str">
        <x:v>Bebidas</x:v>
      </x:c>
      <x:c r="F75" s="11" t="str">
        <x:v>Bebida fría</x:v>
      </x:c>
      <x:c r="G75" s="11" t="str">
        <x:v>C-0045</x:v>
      </x:c>
      <x:c r="H75" s="11" t="str">
        <x:v>Recurrente</x:v>
      </x:c>
      <x:c r="I75" s="11" t="n">
        <x:v>1</x:v>
      </x:c>
      <x:c r="J75" s="18" t="n">
        <x:v>7800</x:v>
      </x:c>
      <x:c r="K75" s="16" t="n">
        <x:v>0</x:v>
      </x:c>
      <x:c r="L75" s="18" t="n">
        <x:v>4000</x:v>
      </x:c>
      <x:c r="M75" s="11" t="str">
        <x:v>Transferencia</x:v>
      </x:c>
      <x:c r="N75" s="11" t="n">
        <x:v>50</x:v>
      </x:c>
      <x:c r="O75" s="11" t="str">
        <x:v>A tiempo</x:v>
      </x:c>
      <x:c r="P75" s="20" t="n">
        <x:v>3</x:v>
      </x:c>
      <x:c r="Q75" s="18" t="n">
        <x:f>I75*J75</x:f>
        <x:v>7800</x:v>
      </x:c>
      <x:c r="R75" s="18" t="n">
        <x:f>Q75*K75</x:f>
        <x:v>0</x:v>
      </x:c>
      <x:c r="S75" s="18" t="n">
        <x:f>Q75-R75</x:f>
        <x:v>7800</x:v>
      </x:c>
      <x:c r="T75" s="18" t="n">
        <x:f>I75*L75</x:f>
        <x:v>4000</x:v>
      </x:c>
      <x:c r="U75" s="18" t="n">
        <x:f>S75-T75</x:f>
        <x:v>3800</x:v>
      </x:c>
    </x:row>
    <x:row r="76">
      <x:c r="A76" s="11" t="str">
        <x:v>V-0067</x:v>
      </x:c>
      <x:c r="B76" s="14" t="n">
        <x:v>46058</x:v>
      </x:c>
      <x:c r="C76" s="11" t="str">
        <x:v>Florencia</x:v>
      </x:c>
      <x:c r="D76" s="11" t="str">
        <x:v>Web</x:v>
      </x:c>
      <x:c r="E76" s="11" t="str">
        <x:v>Hogar</x:v>
      </x:c>
      <x:c r="F76" s="11" t="str">
        <x:v>Organizador</x:v>
      </x:c>
      <x:c r="G76" s="11" t="str">
        <x:v>C-0048</x:v>
      </x:c>
      <x:c r="H76" s="11" t="str">
        <x:v>Nuevo</x:v>
      </x:c>
      <x:c r="I76" s="11" t="n">
        <x:v>5</x:v>
      </x:c>
      <x:c r="J76" s="18" t="n">
        <x:v>39100</x:v>
      </x:c>
      <x:c r="K76" s="16" t="n">
        <x:v>0.15</x:v>
      </x:c>
      <x:c r="L76" s="18" t="n">
        <x:v>24400</x:v>
      </x:c>
      <x:c r="M76" s="11" t="str">
        <x:v>Billetera digital</x:v>
      </x:c>
      <x:c r="N76" s="11" t="n">
        <x:v>64</x:v>
      </x:c>
      <x:c r="O76" s="11" t="str">
        <x:v>A tiempo</x:v>
      </x:c>
      <x:c r="P76" s="20" t="n">
        <x:v>5</x:v>
      </x:c>
      <x:c r="Q76" s="18" t="n">
        <x:f>I76*J76</x:f>
        <x:v>195500</x:v>
      </x:c>
      <x:c r="R76" s="18" t="n">
        <x:f>Q76*K76</x:f>
        <x:v>29325</x:v>
      </x:c>
      <x:c r="S76" s="18" t="n">
        <x:f>Q76-R76</x:f>
        <x:v>166175</x:v>
      </x:c>
      <x:c r="T76" s="18" t="n">
        <x:f>I76*L76</x:f>
        <x:v>122000</x:v>
      </x:c>
      <x:c r="U76" s="18" t="n">
        <x:f>S76-T76</x:f>
        <x:v>44175</x:v>
      </x:c>
    </x:row>
    <x:row r="77">
      <x:c r="A77" s="11" t="str">
        <x:v>V-0187</x:v>
      </x:c>
      <x:c r="B77" s="14" t="n">
        <x:v>46058</x:v>
      </x:c>
      <x:c r="C77" s="11" t="str">
        <x:v>Neiva</x:v>
      </x:c>
      <x:c r="D77" s="11" t="str">
        <x:v>Tienda</x:v>
      </x:c>
      <x:c r="E77" s="11" t="str">
        <x:v>Hogar</x:v>
      </x:c>
      <x:c r="F77" s="11" t="str">
        <x:v>Organizador</x:v>
      </x:c>
      <x:c r="G77" s="11" t="str">
        <x:v>C-0074</x:v>
      </x:c>
      <x:c r="H77" s="11" t="str">
        <x:v>Recurrente</x:v>
      </x:c>
      <x:c r="I77" s="11" t="n">
        <x:v>4</x:v>
      </x:c>
      <x:c r="J77" s="18" t="n">
        <x:v>32500</x:v>
      </x:c>
      <x:c r="K77" s="16" t="n">
        <x:v>0</x:v>
      </x:c>
      <x:c r="L77" s="18" t="n">
        <x:v>19300</x:v>
      </x:c>
      <x:c r="M77" s="11" t="str">
        <x:v>Efectivo</x:v>
      </x:c>
      <x:c r="N77" s="11" t="n">
        <x:v>0</x:v>
      </x:c>
      <x:c r="O77" s="11" t="str">
        <x:v>No aplica</x:v>
      </x:c>
      <x:c r="P77" s="20" t="n">
        <x:v>3</x:v>
      </x:c>
      <x:c r="Q77" s="18" t="n">
        <x:f>I77*J77</x:f>
        <x:v>130000</x:v>
      </x:c>
      <x:c r="R77" s="18" t="n">
        <x:f>Q77*K77</x:f>
        <x:v>0</x:v>
      </x:c>
      <x:c r="S77" s="18" t="n">
        <x:f>Q77-R77</x:f>
        <x:v>130000</x:v>
      </x:c>
      <x:c r="T77" s="18" t="n">
        <x:f>I77*L77</x:f>
        <x:v>77200</x:v>
      </x:c>
      <x:c r="U77" s="18" t="n">
        <x:f>S77-T77</x:f>
        <x:v>52800</x:v>
      </x:c>
    </x:row>
    <x:row r="78">
      <x:c r="A78" s="11" t="str">
        <x:v>V-0188</x:v>
      </x:c>
      <x:c r="B78" s="14" t="n">
        <x:v>46058</x:v>
      </x:c>
      <x:c r="C78" s="11" t="str">
        <x:v>Cali</x:v>
      </x:c>
      <x:c r="D78" s="11" t="str">
        <x:v>Web</x:v>
      </x:c>
      <x:c r="E78" s="11" t="str">
        <x:v>Hogar</x:v>
      </x:c>
      <x:c r="F78" s="11" t="str">
        <x:v>Kit limpieza</x:v>
      </x:c>
      <x:c r="G78" s="11" t="str">
        <x:v>C-0010</x:v>
      </x:c>
      <x:c r="H78" s="11" t="str">
        <x:v>Recurrente</x:v>
      </x:c>
      <x:c r="I78" s="11" t="n">
        <x:v>3</x:v>
      </x:c>
      <x:c r="J78" s="18" t="n">
        <x:v>22900</x:v>
      </x:c>
      <x:c r="K78" s="16" t="n">
        <x:v>0.1</x:v>
      </x:c>
      <x:c r="L78" s="18" t="n">
        <x:v>13000</x:v>
      </x:c>
      <x:c r="M78" s="11" t="str">
        <x:v>Tarjeta</x:v>
      </x:c>
      <x:c r="N78" s="11" t="n">
        <x:v>71</x:v>
      </x:c>
      <x:c r="O78" s="11" t="str">
        <x:v>Tardía</x:v>
      </x:c>
      <x:c r="P78" s="20" t="n">
        <x:v>4</x:v>
      </x:c>
      <x:c r="Q78" s="18" t="n">
        <x:f>I78*J78</x:f>
        <x:v>68700</x:v>
      </x:c>
      <x:c r="R78" s="18" t="n">
        <x:f>Q78*K78</x:f>
        <x:v>6870</x:v>
      </x:c>
      <x:c r="S78" s="18" t="n">
        <x:f>Q78-R78</x:f>
        <x:v>61830</x:v>
      </x:c>
      <x:c r="T78" s="18" t="n">
        <x:f>I78*L78</x:f>
        <x:v>39000</x:v>
      </x:c>
      <x:c r="U78" s="18" t="n">
        <x:f>S78-T78</x:f>
        <x:v>22830</x:v>
      </x:c>
    </x:row>
    <x:row r="79">
      <x:c r="A79" s="11" t="str">
        <x:v>V-0475</x:v>
      </x:c>
      <x:c r="B79" s="14" t="n">
        <x:v>46059</x:v>
      </x:c>
      <x:c r="C79" s="11" t="str">
        <x:v>Neiva</x:v>
      </x:c>
      <x:c r="D79" s="11" t="str">
        <x:v>Tienda</x:v>
      </x:c>
      <x:c r="E79" s="11" t="str">
        <x:v>Hogar</x:v>
      </x:c>
      <x:c r="F79" s="11" t="str">
        <x:v>Organizador</x:v>
      </x:c>
      <x:c r="G79" s="11" t="str">
        <x:v>C-0080</x:v>
      </x:c>
      <x:c r="H79" s="11" t="str">
        <x:v>Recurrente</x:v>
      </x:c>
      <x:c r="I79" s="11" t="n">
        <x:v>6</x:v>
      </x:c>
      <x:c r="J79" s="18" t="n">
        <x:v>36700</x:v>
      </x:c>
      <x:c r="K79" s="16" t="n">
        <x:v>0.1</x:v>
      </x:c>
      <x:c r="L79" s="18" t="n">
        <x:v>23300</x:v>
      </x:c>
      <x:c r="M79" s="11" t="str">
        <x:v>Tarjeta</x:v>
      </x:c>
      <x:c r="N79" s="11" t="n">
        <x:v>0</x:v>
      </x:c>
      <x:c r="O79" s="11" t="str">
        <x:v>No aplica</x:v>
      </x:c>
      <x:c r="P79" s="20" t="n">
        <x:v>4</x:v>
      </x:c>
      <x:c r="Q79" s="18" t="n">
        <x:f>I79*J79</x:f>
        <x:v>220200</x:v>
      </x:c>
      <x:c r="R79" s="18" t="n">
        <x:f>Q79*K79</x:f>
        <x:v>22020</x:v>
      </x:c>
      <x:c r="S79" s="18" t="n">
        <x:f>Q79-R79</x:f>
        <x:v>198180</x:v>
      </x:c>
      <x:c r="T79" s="18" t="n">
        <x:f>I79*L79</x:f>
        <x:v>139800</x:v>
      </x:c>
      <x:c r="U79" s="18" t="n">
        <x:f>S79-T79</x:f>
        <x:v>58380</x:v>
      </x:c>
    </x:row>
    <x:row r="80">
      <x:c r="A80" s="11" t="str">
        <x:v>V-0079</x:v>
      </x:c>
      <x:c r="B80" s="14" t="n">
        <x:v>46061</x:v>
      </x:c>
      <x:c r="C80" s="11" t="str">
        <x:v>Bogotá</x:v>
      </x:c>
      <x:c r="D80" s="11" t="str">
        <x:v>Tienda</x:v>
      </x:c>
      <x:c r="E80" s="11" t="str">
        <x:v>Bebidas</x:v>
      </x:c>
      <x:c r="F80" s="11" t="str">
        <x:v>Bebida premium</x:v>
      </x:c>
      <x:c r="G80" s="11" t="str">
        <x:v>C-0106</x:v>
      </x:c>
      <x:c r="H80" s="11" t="str">
        <x:v>Nuevo</x:v>
      </x:c>
      <x:c r="I80" s="11" t="n">
        <x:v>4</x:v>
      </x:c>
      <x:c r="J80" s="18" t="n">
        <x:v>15000</x:v>
      </x:c>
      <x:c r="K80" s="16" t="n">
        <x:v>0.15</x:v>
      </x:c>
      <x:c r="L80" s="18" t="n">
        <x:v>8900</x:v>
      </x:c>
      <x:c r="M80" s="11" t="str">
        <x:v>Efectivo</x:v>
      </x:c>
      <x:c r="N80" s="11" t="n">
        <x:v>0</x:v>
      </x:c>
      <x:c r="O80" s="11" t="str">
        <x:v>No aplica</x:v>
      </x:c>
      <x:c r="P80" s="20" t="n">
        <x:v>5</x:v>
      </x:c>
      <x:c r="Q80" s="18" t="n">
        <x:f>I80*J80</x:f>
        <x:v>60000</x:v>
      </x:c>
      <x:c r="R80" s="18" t="n">
        <x:f>Q80*K80</x:f>
        <x:v>9000</x:v>
      </x:c>
      <x:c r="S80" s="18" t="n">
        <x:f>Q80-R80</x:f>
        <x:v>51000</x:v>
      </x:c>
      <x:c r="T80" s="18" t="n">
        <x:f>I80*L80</x:f>
        <x:v>35600</x:v>
      </x:c>
      <x:c r="U80" s="18" t="n">
        <x:f>S80-T80</x:f>
        <x:v>15400</x:v>
      </x:c>
    </x:row>
    <x:row r="81">
      <x:c r="A81" s="11" t="str">
        <x:v>V-0118</x:v>
      </x:c>
      <x:c r="B81" s="14" t="n">
        <x:v>46061</x:v>
      </x:c>
      <x:c r="C81" s="11" t="str">
        <x:v>Ibagué</x:v>
      </x:c>
      <x:c r="D81" s="11" t="str">
        <x:v>Web</x:v>
      </x:c>
      <x:c r="E81" s="11" t="str">
        <x:v>Cuidado personal</x:v>
      </x:c>
      <x:c r="F81" s="11" t="str">
        <x:v>Kit cuidado</x:v>
      </x:c>
      <x:c r="G81" s="11" t="str">
        <x:v>C-0056</x:v>
      </x:c>
      <x:c r="H81" s="11" t="str">
        <x:v>Recurrente</x:v>
      </x:c>
      <x:c r="I81" s="11" t="n">
        <x:v>5</x:v>
      </x:c>
      <x:c r="J81" s="18" t="n">
        <x:v>44100</x:v>
      </x:c>
      <x:c r="K81" s="16" t="n">
        <x:v>0.05</x:v>
      </x:c>
      <x:c r="L81" s="18" t="n">
        <x:v>27300</x:v>
      </x:c>
      <x:c r="M81" s="11" t="str">
        <x:v>Tarjeta</x:v>
      </x:c>
      <x:c r="N81" s="11" t="n">
        <x:v>65</x:v>
      </x:c>
      <x:c r="O81" s="11" t="str">
        <x:v>Tardía</x:v>
      </x:c>
      <x:c r="P81" s="20" t="n">
        <x:v>2</x:v>
      </x:c>
      <x:c r="Q81" s="18" t="n">
        <x:f>I81*J81</x:f>
        <x:v>220500</x:v>
      </x:c>
      <x:c r="R81" s="18" t="n">
        <x:f>Q81*K81</x:f>
        <x:v>11025</x:v>
      </x:c>
      <x:c r="S81" s="18" t="n">
        <x:f>Q81-R81</x:f>
        <x:v>209475</x:v>
      </x:c>
      <x:c r="T81" s="18" t="n">
        <x:f>I81*L81</x:f>
        <x:v>136500</x:v>
      </x:c>
      <x:c r="U81" s="18" t="n">
        <x:f>S81-T81</x:f>
        <x:v>72975</x:v>
      </x:c>
    </x:row>
    <x:row r="82">
      <x:c r="A82" s="11" t="str">
        <x:v>V-0133</x:v>
      </x:c>
      <x:c r="B82" s="14" t="n">
        <x:v>46061</x:v>
      </x:c>
      <x:c r="C82" s="11" t="str">
        <x:v>Neiva</x:v>
      </x:c>
      <x:c r="D82" s="11" t="str">
        <x:v>Web</x:v>
      </x:c>
      <x:c r="E82" s="11" t="str">
        <x:v>Cuidado personal</x:v>
      </x:c>
      <x:c r="F82" s="11" t="str">
        <x:v>Accesorio personal</x:v>
      </x:c>
      <x:c r="G82" s="11" t="str">
        <x:v>C-0020</x:v>
      </x:c>
      <x:c r="H82" s="11" t="str">
        <x:v>Nuevo</x:v>
      </x:c>
      <x:c r="I82" s="11" t="n">
        <x:v>4</x:v>
      </x:c>
      <x:c r="J82" s="18" t="n">
        <x:v>17700</x:v>
      </x:c>
      <x:c r="K82" s="16" t="n">
        <x:v>0</x:v>
      </x:c>
      <x:c r="L82" s="18" t="n">
        <x:v>9800</x:v>
      </x:c>
      <x:c r="M82" s="11" t="str">
        <x:v>Billetera digital</x:v>
      </x:c>
      <x:c r="N82" s="11" t="n">
        <x:v>49</x:v>
      </x:c>
      <x:c r="O82" s="11" t="str">
        <x:v>A tiempo</x:v>
      </x:c>
      <x:c r="P82" s="20" t="n">
        <x:v>5</x:v>
      </x:c>
      <x:c r="Q82" s="18" t="n">
        <x:f>I82*J82</x:f>
        <x:v>70800</x:v>
      </x:c>
      <x:c r="R82" s="18" t="n">
        <x:f>Q82*K82</x:f>
        <x:v>0</x:v>
      </x:c>
      <x:c r="S82" s="18" t="n">
        <x:f>Q82-R82</x:f>
        <x:v>70800</x:v>
      </x:c>
      <x:c r="T82" s="18" t="n">
        <x:f>I82*L82</x:f>
        <x:v>39200</x:v>
      </x:c>
      <x:c r="U82" s="18" t="n">
        <x:f>S82-T82</x:f>
        <x:v>31600</x:v>
      </x:c>
    </x:row>
    <x:row r="83">
      <x:c r="A83" s="11" t="str">
        <x:v>V-0155</x:v>
      </x:c>
      <x:c r="B83" s="14" t="n">
        <x:v>46061</x:v>
      </x:c>
      <x:c r="C83" s="11" t="str">
        <x:v>Florencia</x:v>
      </x:c>
      <x:c r="D83" s="11" t="str">
        <x:v>Tienda</x:v>
      </x:c>
      <x:c r="E83" s="11" t="str">
        <x:v>Bebidas</x:v>
      </x:c>
      <x:c r="F83" s="11" t="str">
        <x:v>Bebida caliente</x:v>
      </x:c>
      <x:c r="G83" s="11" t="str">
        <x:v>C-0079</x:v>
      </x:c>
      <x:c r="H83" s="11" t="str">
        <x:v>Recurrente</x:v>
      </x:c>
      <x:c r="I83" s="11" t="n">
        <x:v>1</x:v>
      </x:c>
      <x:c r="J83" s="18" t="n">
        <x:v>6300</x:v>
      </x:c>
      <x:c r="K83" s="16" t="n">
        <x:v>0.1</x:v>
      </x:c>
      <x:c r="L83" s="18" t="n">
        <x:v>2900</x:v>
      </x:c>
      <x:c r="M83" s="11" t="str">
        <x:v>Efectivo</x:v>
      </x:c>
      <x:c r="N83" s="11" t="n">
        <x:v>0</x:v>
      </x:c>
      <x:c r="O83" s="11" t="str">
        <x:v>No aplica</x:v>
      </x:c>
      <x:c r="P83" s="20" t="n">
        <x:v>5</x:v>
      </x:c>
      <x:c r="Q83" s="18" t="n">
        <x:f>I83*J83</x:f>
        <x:v>6300</x:v>
      </x:c>
      <x:c r="R83" s="18" t="n">
        <x:f>Q83*K83</x:f>
        <x:v>630</x:v>
      </x:c>
      <x:c r="S83" s="18" t="n">
        <x:f>Q83-R83</x:f>
        <x:v>5670</x:v>
      </x:c>
      <x:c r="T83" s="18" t="n">
        <x:f>I83*L83</x:f>
        <x:v>2900</x:v>
      </x:c>
      <x:c r="U83" s="18" t="n">
        <x:f>S83-T83</x:f>
        <x:v>2770</x:v>
      </x:c>
    </x:row>
    <x:row r="84">
      <x:c r="A84" s="11" t="str">
        <x:v>V-0385</x:v>
      </x:c>
      <x:c r="B84" s="14" t="n">
        <x:v>46061</x:v>
      </x:c>
      <x:c r="C84" s="11" t="str">
        <x:v>Neiva</x:v>
      </x:c>
      <x:c r="D84" s="11" t="str">
        <x:v>Tienda</x:v>
      </x:c>
      <x:c r="E84" s="11" t="str">
        <x:v>Hogar</x:v>
      </x:c>
      <x:c r="F84" s="11" t="str">
        <x:v>Kit limpieza</x:v>
      </x:c>
      <x:c r="G84" s="11" t="str">
        <x:v>C-0044</x:v>
      </x:c>
      <x:c r="H84" s="11" t="str">
        <x:v>Recurrente</x:v>
      </x:c>
      <x:c r="I84" s="11" t="n">
        <x:v>4</x:v>
      </x:c>
      <x:c r="J84" s="18" t="n">
        <x:v>23000</x:v>
      </x:c>
      <x:c r="K84" s="16" t="n">
        <x:v>0.1</x:v>
      </x:c>
      <x:c r="L84" s="18" t="n">
        <x:v>13100</x:v>
      </x:c>
      <x:c r="M84" s="11" t="str">
        <x:v>Tarjeta</x:v>
      </x:c>
      <x:c r="N84" s="11" t="n">
        <x:v>0</x:v>
      </x:c>
      <x:c r="O84" s="11" t="str">
        <x:v>No aplica</x:v>
      </x:c>
      <x:c r="P84" s="20" t="n">
        <x:v>3</x:v>
      </x:c>
      <x:c r="Q84" s="18" t="n">
        <x:f>I84*J84</x:f>
        <x:v>92000</x:v>
      </x:c>
      <x:c r="R84" s="18" t="n">
        <x:f>Q84*K84</x:f>
        <x:v>9200</x:v>
      </x:c>
      <x:c r="S84" s="18" t="n">
        <x:f>Q84-R84</x:f>
        <x:v>82800</x:v>
      </x:c>
      <x:c r="T84" s="18" t="n">
        <x:f>I84*L84</x:f>
        <x:v>52400</x:v>
      </x:c>
      <x:c r="U84" s="18" t="n">
        <x:f>S84-T84</x:f>
        <x:v>30400</x:v>
      </x:c>
    </x:row>
    <x:row r="85">
      <x:c r="A85" s="11" t="str">
        <x:v>V-0470</x:v>
      </x:c>
      <x:c r="B85" s="14" t="n">
        <x:v>46061</x:v>
      </x:c>
      <x:c r="C85" s="11" t="str">
        <x:v>Ibagué</x:v>
      </x:c>
      <x:c r="D85" s="11" t="str">
        <x:v>App</x:v>
      </x:c>
      <x:c r="E85" s="11" t="str">
        <x:v>Hogar</x:v>
      </x:c>
      <x:c r="F85" s="11" t="str">
        <x:v>Organizador</x:v>
      </x:c>
      <x:c r="G85" s="11" t="str">
        <x:v>C-0016</x:v>
      </x:c>
      <x:c r="H85" s="11" t="str">
        <x:v>Recurrente</x:v>
      </x:c>
      <x:c r="I85" s="11" t="n">
        <x:v>1</x:v>
      </x:c>
      <x:c r="J85" s="18" t="n">
        <x:v>36200</x:v>
      </x:c>
      <x:c r="K85" s="16" t="n">
        <x:v>0</x:v>
      </x:c>
      <x:c r="L85" s="18" t="n">
        <x:v>22100</x:v>
      </x:c>
      <x:c r="M85" s="11" t="str">
        <x:v>Tarjeta</x:v>
      </x:c>
      <x:c r="N85" s="11" t="n">
        <x:v>54</x:v>
      </x:c>
      <x:c r="O85" s="11" t="str">
        <x:v>A tiempo</x:v>
      </x:c>
      <x:c r="P85" s="20" t="n">
        <x:v>5</x:v>
      </x:c>
      <x:c r="Q85" s="18" t="n">
        <x:f>I85*J85</x:f>
        <x:v>36200</x:v>
      </x:c>
      <x:c r="R85" s="18" t="n">
        <x:f>Q85*K85</x:f>
        <x:v>0</x:v>
      </x:c>
      <x:c r="S85" s="18" t="n">
        <x:f>Q85-R85</x:f>
        <x:v>36200</x:v>
      </x:c>
      <x:c r="T85" s="18" t="n">
        <x:f>I85*L85</x:f>
        <x:v>22100</x:v>
      </x:c>
      <x:c r="U85" s="18" t="n">
        <x:f>S85-T85</x:f>
        <x:v>14100</x:v>
      </x:c>
    </x:row>
    <x:row r="86">
      <x:c r="A86" s="11" t="str">
        <x:v>V-0151</x:v>
      </x:c>
      <x:c r="B86" s="14" t="n">
        <x:v>46062</x:v>
      </x:c>
      <x:c r="C86" s="11" t="str">
        <x:v>Cali</x:v>
      </x:c>
      <x:c r="D86" s="11" t="str">
        <x:v>Web</x:v>
      </x:c>
      <x:c r="E86" s="11" t="str">
        <x:v>Alimentos</x:v>
      </x:c>
      <x:c r="F86" s="11" t="str">
        <x:v>Snack saludable</x:v>
      </x:c>
      <x:c r="G86" s="11" t="str">
        <x:v>C-0052</x:v>
      </x:c>
      <x:c r="H86" s="11" t="str">
        <x:v>Recurrente</x:v>
      </x:c>
      <x:c r="I86" s="11" t="n">
        <x:v>1</x:v>
      </x:c>
      <x:c r="J86" s="18" t="n">
        <x:v>9200</x:v>
      </x:c>
      <x:c r="K86" s="16" t="n">
        <x:v>0.05</x:v>
      </x:c>
      <x:c r="L86" s="18" t="n">
        <x:v>5400</x:v>
      </x:c>
      <x:c r="M86" s="11" t="str">
        <x:v>Transferencia</x:v>
      </x:c>
      <x:c r="N86" s="11" t="n">
        <x:v>53</x:v>
      </x:c>
      <x:c r="O86" s="11" t="str">
        <x:v>A tiempo</x:v>
      </x:c>
      <x:c r="P86" s="20" t="n">
        <x:v>5</x:v>
      </x:c>
      <x:c r="Q86" s="18" t="n">
        <x:f>I86*J86</x:f>
        <x:v>9200</x:v>
      </x:c>
      <x:c r="R86" s="18" t="n">
        <x:f>Q86*K86</x:f>
        <x:v>460</x:v>
      </x:c>
      <x:c r="S86" s="18" t="n">
        <x:f>Q86-R86</x:f>
        <x:v>8740</x:v>
      </x:c>
      <x:c r="T86" s="18" t="n">
        <x:f>I86*L86</x:f>
        <x:v>5400</x:v>
      </x:c>
      <x:c r="U86" s="18" t="n">
        <x:f>S86-T86</x:f>
        <x:v>3340</x:v>
      </x:c>
    </x:row>
    <x:row r="87">
      <x:c r="A87" s="11" t="str">
        <x:v>V-0296</x:v>
      </x:c>
      <x:c r="B87" s="14" t="n">
        <x:v>46062</x:v>
      </x:c>
      <x:c r="C87" s="11" t="str">
        <x:v>Florencia</x:v>
      </x:c>
      <x:c r="D87" s="11" t="str">
        <x:v>Tienda</x:v>
      </x:c>
      <x:c r="E87" s="11" t="str">
        <x:v>Cuidado personal</x:v>
      </x:c>
      <x:c r="F87" s="11" t="str">
        <x:v>Kit cuidado</x:v>
      </x:c>
      <x:c r="G87" s="11" t="str">
        <x:v>C-0117</x:v>
      </x:c>
      <x:c r="H87" s="11" t="str">
        <x:v>Recurrente</x:v>
      </x:c>
      <x:c r="I87" s="11" t="n">
        <x:v>1</x:v>
      </x:c>
      <x:c r="J87" s="18" t="n">
        <x:v>41400</x:v>
      </x:c>
      <x:c r="K87" s="16" t="n">
        <x:v>0.1</x:v>
      </x:c>
      <x:c r="L87" s="18" t="n">
        <x:v>25700</x:v>
      </x:c>
      <x:c r="M87" s="11" t="str">
        <x:v>Efectivo</x:v>
      </x:c>
      <x:c r="N87" s="11" t="n">
        <x:v>0</x:v>
      </x:c>
      <x:c r="O87" s="11" t="str">
        <x:v>No aplica</x:v>
      </x:c>
      <x:c r="P87" s="20" t="n">
        <x:v>4</x:v>
      </x:c>
      <x:c r="Q87" s="18" t="n">
        <x:f>I87*J87</x:f>
        <x:v>41400</x:v>
      </x:c>
      <x:c r="R87" s="18" t="n">
        <x:f>Q87*K87</x:f>
        <x:v>4140</x:v>
      </x:c>
      <x:c r="S87" s="18" t="n">
        <x:f>Q87-R87</x:f>
        <x:v>37260</x:v>
      </x:c>
      <x:c r="T87" s="18" t="n">
        <x:f>I87*L87</x:f>
        <x:v>25700</x:v>
      </x:c>
      <x:c r="U87" s="18" t="n">
        <x:f>S87-T87</x:f>
        <x:v>11560</x:v>
      </x:c>
    </x:row>
    <x:row r="88">
      <x:c r="A88" s="11" t="str">
        <x:v>V-0455</x:v>
      </x:c>
      <x:c r="B88" s="14" t="n">
        <x:v>46062</x:v>
      </x:c>
      <x:c r="C88" s="11" t="str">
        <x:v>Medellín</x:v>
      </x:c>
      <x:c r="D88" s="11" t="str">
        <x:v>Tienda</x:v>
      </x:c>
      <x:c r="E88" s="11" t="str">
        <x:v>Hogar</x:v>
      </x:c>
      <x:c r="F88" s="11" t="str">
        <x:v>Organizador</x:v>
      </x:c>
      <x:c r="G88" s="11" t="str">
        <x:v>C-0022</x:v>
      </x:c>
      <x:c r="H88" s="11" t="str">
        <x:v>Recurrente</x:v>
      </x:c>
      <x:c r="I88" s="11" t="n">
        <x:v>4</x:v>
      </x:c>
      <x:c r="J88" s="18" t="n">
        <x:v>38700</x:v>
      </x:c>
      <x:c r="K88" s="16" t="n">
        <x:v>0.15</x:v>
      </x:c>
      <x:c r="L88" s="18" t="n">
        <x:v>22700</x:v>
      </x:c>
      <x:c r="M88" s="11" t="str">
        <x:v>Tarjeta</x:v>
      </x:c>
      <x:c r="N88" s="11" t="n">
        <x:v>0</x:v>
      </x:c>
      <x:c r="O88" s="11" t="str">
        <x:v>No aplica</x:v>
      </x:c>
      <x:c r="P88" s="20" t="n">
        <x:v>4</x:v>
      </x:c>
      <x:c r="Q88" s="18" t="n">
        <x:f>I88*J88</x:f>
        <x:v>154800</x:v>
      </x:c>
      <x:c r="R88" s="18" t="n">
        <x:f>Q88*K88</x:f>
        <x:v>23220</x:v>
      </x:c>
      <x:c r="S88" s="18" t="n">
        <x:f>Q88-R88</x:f>
        <x:v>131580</x:v>
      </x:c>
      <x:c r="T88" s="18" t="n">
        <x:f>I88*L88</x:f>
        <x:v>90800</x:v>
      </x:c>
      <x:c r="U88" s="18" t="n">
        <x:f>S88-T88</x:f>
        <x:v>40780</x:v>
      </x:c>
    </x:row>
    <x:row r="89">
      <x:c r="A89" s="11" t="str">
        <x:v>V-0467</x:v>
      </x:c>
      <x:c r="B89" s="14" t="n">
        <x:v>46064</x:v>
      </x:c>
      <x:c r="C89" s="11" t="str">
        <x:v>Florencia</x:v>
      </x:c>
      <x:c r="D89" s="11" t="str">
        <x:v>App</x:v>
      </x:c>
      <x:c r="E89" s="11" t="str">
        <x:v>Cuidado personal</x:v>
      </x:c>
      <x:c r="F89" s="11" t="str">
        <x:v>Accesorio personal</x:v>
      </x:c>
      <x:c r="G89" s="11" t="str">
        <x:v>C-0002</x:v>
      </x:c>
      <x:c r="H89" s="11" t="str">
        <x:v>Recurrente</x:v>
      </x:c>
      <x:c r="I89" s="11" t="n">
        <x:v>1</x:v>
      </x:c>
      <x:c r="J89" s="18" t="n">
        <x:v>17000</x:v>
      </x:c>
      <x:c r="K89" s="16" t="n">
        <x:v>0.1</x:v>
      </x:c>
      <x:c r="L89" s="18" t="n">
        <x:v>10000</x:v>
      </x:c>
      <x:c r="M89" s="11" t="str">
        <x:v>Tarjeta</x:v>
      </x:c>
      <x:c r="N89" s="11" t="n">
        <x:v>52</x:v>
      </x:c>
      <x:c r="O89" s="11" t="str">
        <x:v>A tiempo</x:v>
      </x:c>
      <x:c r="P89" s="20" t="n">
        <x:v>5</x:v>
      </x:c>
      <x:c r="Q89" s="18" t="n">
        <x:f>I89*J89</x:f>
        <x:v>17000</x:v>
      </x:c>
      <x:c r="R89" s="18" t="n">
        <x:f>Q89*K89</x:f>
        <x:v>1700</x:v>
      </x:c>
      <x:c r="S89" s="18" t="n">
        <x:f>Q89-R89</x:f>
        <x:v>15300</x:v>
      </x:c>
      <x:c r="T89" s="18" t="n">
        <x:f>I89*L89</x:f>
        <x:v>10000</x:v>
      </x:c>
      <x:c r="U89" s="18" t="n">
        <x:f>S89-T89</x:f>
        <x:v>5300</x:v>
      </x:c>
    </x:row>
    <x:row r="90">
      <x:c r="A90" s="11" t="str">
        <x:v>V-0380</x:v>
      </x:c>
      <x:c r="B90" s="14" t="n">
        <x:v>46065</x:v>
      </x:c>
      <x:c r="C90" s="11" t="str">
        <x:v>Bogotá</x:v>
      </x:c>
      <x:c r="D90" s="11" t="str">
        <x:v>Tienda</x:v>
      </x:c>
      <x:c r="E90" s="11" t="str">
        <x:v>Hogar</x:v>
      </x:c>
      <x:c r="F90" s="11" t="str">
        <x:v>Kit limpieza</x:v>
      </x:c>
      <x:c r="G90" s="11" t="str">
        <x:v>C-0052</x:v>
      </x:c>
      <x:c r="H90" s="11" t="str">
        <x:v>Recurrente</x:v>
      </x:c>
      <x:c r="I90" s="11" t="n">
        <x:v>3</x:v>
      </x:c>
      <x:c r="J90" s="18" t="n">
        <x:v>26100</x:v>
      </x:c>
      <x:c r="K90" s="16" t="n">
        <x:v>0</x:v>
      </x:c>
      <x:c r="L90" s="18" t="n">
        <x:v>14700</x:v>
      </x:c>
      <x:c r="M90" s="11" t="str">
        <x:v>Efectivo</x:v>
      </x:c>
      <x:c r="N90" s="11" t="n">
        <x:v>0</x:v>
      </x:c>
      <x:c r="O90" s="11" t="str">
        <x:v>No aplica</x:v>
      </x:c>
      <x:c r="P90" s="20" t="n">
        <x:v>5</x:v>
      </x:c>
      <x:c r="Q90" s="18" t="n">
        <x:f>I90*J90</x:f>
        <x:v>78300</x:v>
      </x:c>
      <x:c r="R90" s="18" t="n">
        <x:f>Q90*K90</x:f>
        <x:v>0</x:v>
      </x:c>
      <x:c r="S90" s="18" t="n">
        <x:f>Q90-R90</x:f>
        <x:v>78300</x:v>
      </x:c>
      <x:c r="T90" s="18" t="n">
        <x:f>I90*L90</x:f>
        <x:v>44100</x:v>
      </x:c>
      <x:c r="U90" s="18" t="n">
        <x:f>S90-T90</x:f>
        <x:v>34200</x:v>
      </x:c>
    </x:row>
    <x:row r="91">
      <x:c r="A91" s="11" t="str">
        <x:v>V-0462</x:v>
      </x:c>
      <x:c r="B91" s="14" t="n">
        <x:v>46065</x:v>
      </x:c>
      <x:c r="C91" s="11" t="str">
        <x:v>Cali</x:v>
      </x:c>
      <x:c r="D91" s="11" t="str">
        <x:v>Tienda</x:v>
      </x:c>
      <x:c r="E91" s="11" t="str">
        <x:v>Hogar</x:v>
      </x:c>
      <x:c r="F91" s="11" t="str">
        <x:v>Accesorio hogar</x:v>
      </x:c>
      <x:c r="G91" s="11" t="str">
        <x:v>C-0047</x:v>
      </x:c>
      <x:c r="H91" s="11" t="str">
        <x:v>Recurrente</x:v>
      </x:c>
      <x:c r="I91" s="11" t="n">
        <x:v>4</x:v>
      </x:c>
      <x:c r="J91" s="18" t="n">
        <x:v>25800</x:v>
      </x:c>
      <x:c r="K91" s="16" t="n">
        <x:v>0.1</x:v>
      </x:c>
      <x:c r="L91" s="18" t="n">
        <x:v>15900</x:v>
      </x:c>
      <x:c r="M91" s="11" t="str">
        <x:v>Transferencia</x:v>
      </x:c>
      <x:c r="N91" s="11" t="n">
        <x:v>0</x:v>
      </x:c>
      <x:c r="O91" s="11" t="str">
        <x:v>No aplica</x:v>
      </x:c>
      <x:c r="P91" s="20" t="n">
        <x:v>4</x:v>
      </x:c>
      <x:c r="Q91" s="18" t="n">
        <x:f>I91*J91</x:f>
        <x:v>103200</x:v>
      </x:c>
      <x:c r="R91" s="18" t="n">
        <x:f>Q91*K91</x:f>
        <x:v>10320</x:v>
      </x:c>
      <x:c r="S91" s="18" t="n">
        <x:f>Q91-R91</x:f>
        <x:v>92880</x:v>
      </x:c>
      <x:c r="T91" s="18" t="n">
        <x:f>I91*L91</x:f>
        <x:v>63600</x:v>
      </x:c>
      <x:c r="U91" s="18" t="n">
        <x:f>S91-T91</x:f>
        <x:v>29280</x:v>
      </x:c>
    </x:row>
    <x:row r="92">
      <x:c r="A92" s="11" t="str">
        <x:v>V-0101</x:v>
      </x:c>
      <x:c r="B92" s="14" t="n">
        <x:v>46066</x:v>
      </x:c>
      <x:c r="C92" s="11" t="str">
        <x:v>Bogotá</x:v>
      </x:c>
      <x:c r="D92" s="11" t="str">
        <x:v>Tienda</x:v>
      </x:c>
      <x:c r="E92" s="11" t="str">
        <x:v>Bebidas</x:v>
      </x:c>
      <x:c r="F92" s="11" t="str">
        <x:v>Bebida fría</x:v>
      </x:c>
      <x:c r="G92" s="11" t="str">
        <x:v>C-0075</x:v>
      </x:c>
      <x:c r="H92" s="11" t="str">
        <x:v>Nuevo</x:v>
      </x:c>
      <x:c r="I92" s="11" t="n">
        <x:v>4</x:v>
      </x:c>
      <x:c r="J92" s="18" t="n">
        <x:v>7500</x:v>
      </x:c>
      <x:c r="K92" s="16" t="n">
        <x:v>0.05</x:v>
      </x:c>
      <x:c r="L92" s="18" t="n">
        <x:v>3800</x:v>
      </x:c>
      <x:c r="M92" s="11" t="str">
        <x:v>Billetera digital</x:v>
      </x:c>
      <x:c r="N92" s="11" t="n">
        <x:v>0</x:v>
      </x:c>
      <x:c r="O92" s="11" t="str">
        <x:v>No aplica</x:v>
      </x:c>
      <x:c r="P92" s="20" t="n">
        <x:v>3</x:v>
      </x:c>
      <x:c r="Q92" s="18" t="n">
        <x:f>I92*J92</x:f>
        <x:v>30000</x:v>
      </x:c>
      <x:c r="R92" s="18" t="n">
        <x:f>Q92*K92</x:f>
        <x:v>1500</x:v>
      </x:c>
      <x:c r="S92" s="18" t="n">
        <x:f>Q92-R92</x:f>
        <x:v>28500</x:v>
      </x:c>
      <x:c r="T92" s="18" t="n">
        <x:f>I92*L92</x:f>
        <x:v>15200</x:v>
      </x:c>
      <x:c r="U92" s="18" t="n">
        <x:f>S92-T92</x:f>
        <x:v>13300</x:v>
      </x:c>
    </x:row>
    <x:row r="93">
      <x:c r="A93" s="11" t="str">
        <x:v>V-0177</x:v>
      </x:c>
      <x:c r="B93" s="14" t="n">
        <x:v>46066</x:v>
      </x:c>
      <x:c r="C93" s="11" t="str">
        <x:v>Cali</x:v>
      </x:c>
      <x:c r="D93" s="11" t="str">
        <x:v>Tienda</x:v>
      </x:c>
      <x:c r="E93" s="11" t="str">
        <x:v>Bebidas</x:v>
      </x:c>
      <x:c r="F93" s="11" t="str">
        <x:v>Bebida premium</x:v>
      </x:c>
      <x:c r="G93" s="11" t="str">
        <x:v>C-0004</x:v>
      </x:c>
      <x:c r="H93" s="11" t="str">
        <x:v>Recurrente</x:v>
      </x:c>
      <x:c r="I93" s="11" t="n">
        <x:v>2</x:v>
      </x:c>
      <x:c r="J93" s="18" t="n">
        <x:v>14200</x:v>
      </x:c>
      <x:c r="K93" s="16" t="n">
        <x:v>0</x:v>
      </x:c>
      <x:c r="L93" s="18" t="n">
        <x:v>7700</x:v>
      </x:c>
      <x:c r="M93" s="11" t="str">
        <x:v>Tarjeta</x:v>
      </x:c>
      <x:c r="N93" s="11" t="n">
        <x:v>0</x:v>
      </x:c>
      <x:c r="O93" s="11" t="str">
        <x:v>No aplica</x:v>
      </x:c>
      <x:c r="P93" s="20" t="n">
        <x:v>4</x:v>
      </x:c>
      <x:c r="Q93" s="18" t="n">
        <x:f>I93*J93</x:f>
        <x:v>28400</x:v>
      </x:c>
      <x:c r="R93" s="18" t="n">
        <x:f>Q93*K93</x:f>
        <x:v>0</x:v>
      </x:c>
      <x:c r="S93" s="18" t="n">
        <x:f>Q93-R93</x:f>
        <x:v>28400</x:v>
      </x:c>
      <x:c r="T93" s="18" t="n">
        <x:f>I93*L93</x:f>
        <x:v>15400</x:v>
      </x:c>
      <x:c r="U93" s="18" t="n">
        <x:f>S93-T93</x:f>
        <x:v>13000</x:v>
      </x:c>
    </x:row>
    <x:row r="94">
      <x:c r="A94" s="11" t="str">
        <x:v>V-0394</x:v>
      </x:c>
      <x:c r="B94" s="14" t="n">
        <x:v>46066</x:v>
      </x:c>
      <x:c r="C94" s="11" t="str">
        <x:v>Florencia</x:v>
      </x:c>
      <x:c r="D94" s="11" t="str">
        <x:v>Web</x:v>
      </x:c>
      <x:c r="E94" s="11" t="str">
        <x:v>Bebidas</x:v>
      </x:c>
      <x:c r="F94" s="11" t="str">
        <x:v>Bebida fría</x:v>
      </x:c>
      <x:c r="G94" s="11" t="str">
        <x:v>C-0073</x:v>
      </x:c>
      <x:c r="H94" s="11" t="str">
        <x:v>Recurrente</x:v>
      </x:c>
      <x:c r="I94" s="11" t="n">
        <x:v>1</x:v>
      </x:c>
      <x:c r="J94" s="18" t="n">
        <x:v>7600</x:v>
      </x:c>
      <x:c r="K94" s="16" t="n">
        <x:v>0</x:v>
      </x:c>
      <x:c r="L94" s="18" t="n">
        <x:v>4000</x:v>
      </x:c>
      <x:c r="M94" s="11" t="str">
        <x:v>Transferencia</x:v>
      </x:c>
      <x:c r="N94" s="11" t="n">
        <x:v>75</x:v>
      </x:c>
      <x:c r="O94" s="11" t="str">
        <x:v>Tardía</x:v>
      </x:c>
      <x:c r="P94" s="20" t="n">
        <x:v>4</x:v>
      </x:c>
      <x:c r="Q94" s="18" t="n">
        <x:f>I94*J94</x:f>
        <x:v>7600</x:v>
      </x:c>
      <x:c r="R94" s="18" t="n">
        <x:f>Q94*K94</x:f>
        <x:v>0</x:v>
      </x:c>
      <x:c r="S94" s="18" t="n">
        <x:f>Q94-R94</x:f>
        <x:v>7600</x:v>
      </x:c>
      <x:c r="T94" s="18" t="n">
        <x:f>I94*L94</x:f>
        <x:v>4000</x:v>
      </x:c>
      <x:c r="U94" s="18" t="n">
        <x:f>S94-T94</x:f>
        <x:v>3600</x:v>
      </x:c>
    </x:row>
    <x:row r="95">
      <x:c r="A95" s="11" t="str">
        <x:v>V-0255</x:v>
      </x:c>
      <x:c r="B95" s="14" t="n">
        <x:v>46067</x:v>
      </x:c>
      <x:c r="C95" s="11" t="str">
        <x:v>Neiva</x:v>
      </x:c>
      <x:c r="D95" s="11" t="str">
        <x:v>Web</x:v>
      </x:c>
      <x:c r="E95" s="11" t="str">
        <x:v>Hogar</x:v>
      </x:c>
      <x:c r="F95" s="11" t="str">
        <x:v>Kit limpieza</x:v>
      </x:c>
      <x:c r="G95" s="11" t="str">
        <x:v>C-0079</x:v>
      </x:c>
      <x:c r="H95" s="11" t="str">
        <x:v>Recurrente</x:v>
      </x:c>
      <x:c r="I95" s="11" t="n">
        <x:v>4</x:v>
      </x:c>
      <x:c r="J95" s="18" t="n">
        <x:v>24900</x:v>
      </x:c>
      <x:c r="K95" s="16" t="n">
        <x:v>0.05</x:v>
      </x:c>
      <x:c r="L95" s="18" t="n">
        <x:v>14800</x:v>
      </x:c>
      <x:c r="M95" s="11" t="str">
        <x:v>Billetera digital</x:v>
      </x:c>
      <x:c r="N95" s="11" t="n">
        <x:v>50</x:v>
      </x:c>
      <x:c r="O95" s="11" t="str">
        <x:v>A tiempo</x:v>
      </x:c>
      <x:c r="P95" s="20" t="n">
        <x:v>4</x:v>
      </x:c>
      <x:c r="Q95" s="18" t="n">
        <x:f>I95*J95</x:f>
        <x:v>99600</x:v>
      </x:c>
      <x:c r="R95" s="18" t="n">
        <x:f>Q95*K95</x:f>
        <x:v>4980</x:v>
      </x:c>
      <x:c r="S95" s="18" t="n">
        <x:f>Q95-R95</x:f>
        <x:v>94620</x:v>
      </x:c>
      <x:c r="T95" s="18" t="n">
        <x:f>I95*L95</x:f>
        <x:v>59200</x:v>
      </x:c>
      <x:c r="U95" s="18" t="n">
        <x:f>S95-T95</x:f>
        <x:v>35420</x:v>
      </x:c>
    </x:row>
    <x:row r="96">
      <x:c r="A96" s="11" t="str">
        <x:v>V-0031</x:v>
      </x:c>
      <x:c r="B96" s="14" t="n">
        <x:v>46068</x:v>
      </x:c>
      <x:c r="C96" s="11" t="str">
        <x:v>Neiva</x:v>
      </x:c>
      <x:c r="D96" s="11" t="str">
        <x:v>Web</x:v>
      </x:c>
      <x:c r="E96" s="11" t="str">
        <x:v>Bebidas</x:v>
      </x:c>
      <x:c r="F96" s="11" t="str">
        <x:v>Bebida premium</x:v>
      </x:c>
      <x:c r="G96" s="11" t="str">
        <x:v>C-0056</x:v>
      </x:c>
      <x:c r="H96" s="11" t="str">
        <x:v>Nuevo</x:v>
      </x:c>
      <x:c r="I96" s="11" t="n">
        <x:v>1</x:v>
      </x:c>
      <x:c r="J96" s="18" t="n">
        <x:v>14400</x:v>
      </x:c>
      <x:c r="K96" s="16" t="n">
        <x:v>0</x:v>
      </x:c>
      <x:c r="L96" s="18" t="n">
        <x:v>8200</x:v>
      </x:c>
      <x:c r="M96" s="11" t="str">
        <x:v>Billetera digital</x:v>
      </x:c>
      <x:c r="N96" s="11" t="n">
        <x:v>46</x:v>
      </x:c>
      <x:c r="O96" s="11" t="str">
        <x:v>A tiempo</x:v>
      </x:c>
      <x:c r="P96" s="20" t="n">
        <x:v>5</x:v>
      </x:c>
      <x:c r="Q96" s="18" t="n">
        <x:f>I96*J96</x:f>
        <x:v>14400</x:v>
      </x:c>
      <x:c r="R96" s="18" t="n">
        <x:f>Q96*K96</x:f>
        <x:v>0</x:v>
      </x:c>
      <x:c r="S96" s="18" t="n">
        <x:f>Q96-R96</x:f>
        <x:v>14400</x:v>
      </x:c>
      <x:c r="T96" s="18" t="n">
        <x:f>I96*L96</x:f>
        <x:v>8200</x:v>
      </x:c>
      <x:c r="U96" s="18" t="n">
        <x:f>S96-T96</x:f>
        <x:v>6200</x:v>
      </x:c>
    </x:row>
    <x:row r="97">
      <x:c r="A97" s="11" t="str">
        <x:v>V-0144</x:v>
      </x:c>
      <x:c r="B97" s="14" t="n">
        <x:v>46068</x:v>
      </x:c>
      <x:c r="C97" s="11" t="str">
        <x:v>Medellín</x:v>
      </x:c>
      <x:c r="D97" s="11" t="str">
        <x:v>Tienda</x:v>
      </x:c>
      <x:c r="E97" s="11" t="str">
        <x:v>Hogar</x:v>
      </x:c>
      <x:c r="F97" s="11" t="str">
        <x:v>Kit limpieza</x:v>
      </x:c>
      <x:c r="G97" s="11" t="str">
        <x:v>C-0088</x:v>
      </x:c>
      <x:c r="H97" s="11" t="str">
        <x:v>Recurrente</x:v>
      </x:c>
      <x:c r="I97" s="11" t="n">
        <x:v>3</x:v>
      </x:c>
      <x:c r="J97" s="18" t="n">
        <x:v>21700</x:v>
      </x:c>
      <x:c r="K97" s="16" t="n">
        <x:v>0</x:v>
      </x:c>
      <x:c r="L97" s="18" t="n">
        <x:v>13400</x:v>
      </x:c>
      <x:c r="M97" s="11" t="str">
        <x:v>Efectivo</x:v>
      </x:c>
      <x:c r="N97" s="11" t="n">
        <x:v>0</x:v>
      </x:c>
      <x:c r="O97" s="11" t="str">
        <x:v>No aplica</x:v>
      </x:c>
      <x:c r="P97" s="20" t="n">
        <x:v>4</x:v>
      </x:c>
      <x:c r="Q97" s="18" t="n">
        <x:f>I97*J97</x:f>
        <x:v>65100</x:v>
      </x:c>
      <x:c r="R97" s="18" t="n">
        <x:f>Q97*K97</x:f>
        <x:v>0</x:v>
      </x:c>
      <x:c r="S97" s="18" t="n">
        <x:f>Q97-R97</x:f>
        <x:v>65100</x:v>
      </x:c>
      <x:c r="T97" s="18" t="n">
        <x:f>I97*L97</x:f>
        <x:v>40200</x:v>
      </x:c>
      <x:c r="U97" s="18" t="n">
        <x:f>S97-T97</x:f>
        <x:v>24900</x:v>
      </x:c>
    </x:row>
    <x:row r="98">
      <x:c r="A98" s="11" t="str">
        <x:v>V-0438</x:v>
      </x:c>
      <x:c r="B98" s="14" t="n">
        <x:v>46068</x:v>
      </x:c>
      <x:c r="C98" s="11" t="str">
        <x:v>Neiva</x:v>
      </x:c>
      <x:c r="D98" s="11" t="str">
        <x:v>App</x:v>
      </x:c>
      <x:c r="E98" s="11" t="str">
        <x:v>Cuidado personal</x:v>
      </x:c>
      <x:c r="F98" s="11" t="str">
        <x:v>Producto bienestar</x:v>
      </x:c>
      <x:c r="G98" s="11" t="str">
        <x:v>C-0041</x:v>
      </x:c>
      <x:c r="H98" s="11" t="str">
        <x:v>Recurrente</x:v>
      </x:c>
      <x:c r="I98" s="11" t="n">
        <x:v>5</x:v>
      </x:c>
      <x:c r="J98" s="18" t="n">
        <x:v>36000</x:v>
      </x:c>
      <x:c r="K98" s="16" t="n">
        <x:v>0</x:v>
      </x:c>
      <x:c r="L98" s="18" t="n">
        <x:v>21700</x:v>
      </x:c>
      <x:c r="M98" s="11" t="str">
        <x:v>Tarjeta</x:v>
      </x:c>
      <x:c r="N98" s="11" t="n">
        <x:v>52</x:v>
      </x:c>
      <x:c r="O98" s="11" t="str">
        <x:v>A tiempo</x:v>
      </x:c>
      <x:c r="P98" s="20" t="n">
        <x:v>4</x:v>
      </x:c>
      <x:c r="Q98" s="18" t="n">
        <x:f>I98*J98</x:f>
        <x:v>180000</x:v>
      </x:c>
      <x:c r="R98" s="18" t="n">
        <x:f>Q98*K98</x:f>
        <x:v>0</x:v>
      </x:c>
      <x:c r="S98" s="18" t="n">
        <x:f>Q98-R98</x:f>
        <x:v>180000</x:v>
      </x:c>
      <x:c r="T98" s="18" t="n">
        <x:f>I98*L98</x:f>
        <x:v>108500</x:v>
      </x:c>
      <x:c r="U98" s="18" t="n">
        <x:f>S98-T98</x:f>
        <x:v>71500</x:v>
      </x:c>
    </x:row>
    <x:row r="99">
      <x:c r="A99" s="11" t="str">
        <x:v>V-0108</x:v>
      </x:c>
      <x:c r="B99" s="14" t="n">
        <x:v>46069</x:v>
      </x:c>
      <x:c r="C99" s="11" t="str">
        <x:v>Medellín</x:v>
      </x:c>
      <x:c r="D99" s="11" t="str">
        <x:v>App</x:v>
      </x:c>
      <x:c r="E99" s="11" t="str">
        <x:v>Cuidado personal</x:v>
      </x:c>
      <x:c r="F99" s="11" t="str">
        <x:v>Producto bienestar</x:v>
      </x:c>
      <x:c r="G99" s="11" t="str">
        <x:v>C-0089</x:v>
      </x:c>
      <x:c r="H99" s="11" t="str">
        <x:v>Nuevo</x:v>
      </x:c>
      <x:c r="I99" s="11" t="n">
        <x:v>3</x:v>
      </x:c>
      <x:c r="J99" s="18" t="n">
        <x:v>32400</x:v>
      </x:c>
      <x:c r="K99" s="16" t="n">
        <x:v>0</x:v>
      </x:c>
      <x:c r="L99" s="18" t="n">
        <x:v>20000</x:v>
      </x:c>
      <x:c r="M99" s="11" t="str">
        <x:v>Transferencia</x:v>
      </x:c>
      <x:c r="N99" s="11" t="n">
        <x:v>64</x:v>
      </x:c>
      <x:c r="O99" s="11" t="str">
        <x:v>Tardía</x:v>
      </x:c>
      <x:c r="P99" s="20" t="n">
        <x:v>4</x:v>
      </x:c>
      <x:c r="Q99" s="18" t="n">
        <x:f>I99*J99</x:f>
        <x:v>97200</x:v>
      </x:c>
      <x:c r="R99" s="18" t="n">
        <x:f>Q99*K99</x:f>
        <x:v>0</x:v>
      </x:c>
      <x:c r="S99" s="18" t="n">
        <x:f>Q99-R99</x:f>
        <x:v>97200</x:v>
      </x:c>
      <x:c r="T99" s="18" t="n">
        <x:f>I99*L99</x:f>
        <x:v>60000</x:v>
      </x:c>
      <x:c r="U99" s="18" t="n">
        <x:f>S99-T99</x:f>
        <x:v>37200</x:v>
      </x:c>
    </x:row>
    <x:row r="100">
      <x:c r="A100" s="11" t="str">
        <x:v>V-0362</x:v>
      </x:c>
      <x:c r="B100" s="14" t="n">
        <x:v>46069</x:v>
      </x:c>
      <x:c r="C100" s="11" t="str">
        <x:v>Neiva</x:v>
      </x:c>
      <x:c r="D100" s="11" t="str">
        <x:v>Tienda</x:v>
      </x:c>
      <x:c r="E100" s="11" t="str">
        <x:v>Cuidado personal</x:v>
      </x:c>
      <x:c r="F100" s="11" t="str">
        <x:v>Producto bienestar</x:v>
      </x:c>
      <x:c r="G100" s="11" t="str">
        <x:v>C-0100</x:v>
      </x:c>
      <x:c r="H100" s="11" t="str">
        <x:v>Recurrente</x:v>
      </x:c>
      <x:c r="I100" s="11" t="n">
        <x:v>1</x:v>
      </x:c>
      <x:c r="J100" s="18" t="n">
        <x:v>31200</x:v>
      </x:c>
      <x:c r="K100" s="16" t="n">
        <x:v>0</x:v>
      </x:c>
      <x:c r="L100" s="18" t="n">
        <x:v>19200</x:v>
      </x:c>
      <x:c r="M100" s="11" t="str">
        <x:v>Tarjeta</x:v>
      </x:c>
      <x:c r="N100" s="11" t="n">
        <x:v>0</x:v>
      </x:c>
      <x:c r="O100" s="11" t="str">
        <x:v>No aplica</x:v>
      </x:c>
      <x:c r="P100" s="20" t="n">
        <x:v>4</x:v>
      </x:c>
      <x:c r="Q100" s="18" t="n">
        <x:f>I100*J100</x:f>
        <x:v>31200</x:v>
      </x:c>
      <x:c r="R100" s="18" t="n">
        <x:f>Q100*K100</x:f>
        <x:v>0</x:v>
      </x:c>
      <x:c r="S100" s="18" t="n">
        <x:f>Q100-R100</x:f>
        <x:v>31200</x:v>
      </x:c>
      <x:c r="T100" s="18" t="n">
        <x:f>I100*L100</x:f>
        <x:v>19200</x:v>
      </x:c>
      <x:c r="U100" s="18" t="n">
        <x:f>S100-T100</x:f>
        <x:v>12000</x:v>
      </x:c>
    </x:row>
    <x:row r="101">
      <x:c r="A101" s="11" t="str">
        <x:v>V-0396</x:v>
      </x:c>
      <x:c r="B101" s="14" t="n">
        <x:v>46069</x:v>
      </x:c>
      <x:c r="C101" s="11" t="str">
        <x:v>Neiva</x:v>
      </x:c>
      <x:c r="D101" s="11" t="str">
        <x:v>App</x:v>
      </x:c>
      <x:c r="E101" s="11" t="str">
        <x:v>Cuidado personal</x:v>
      </x:c>
      <x:c r="F101" s="11" t="str">
        <x:v>Accesorio personal</x:v>
      </x:c>
      <x:c r="G101" s="11" t="str">
        <x:v>C-0076</x:v>
      </x:c>
      <x:c r="H101" s="11" t="str">
        <x:v>Recurrente</x:v>
      </x:c>
      <x:c r="I101" s="11" t="n">
        <x:v>3</x:v>
      </x:c>
      <x:c r="J101" s="18" t="n">
        <x:v>18700</x:v>
      </x:c>
      <x:c r="K101" s="16" t="n">
        <x:v>0.15</x:v>
      </x:c>
      <x:c r="L101" s="18" t="n">
        <x:v>10600</x:v>
      </x:c>
      <x:c r="M101" s="11" t="str">
        <x:v>Billetera digital</x:v>
      </x:c>
      <x:c r="N101" s="11" t="n">
        <x:v>36</x:v>
      </x:c>
      <x:c r="O101" s="11" t="str">
        <x:v>A tiempo</x:v>
      </x:c>
      <x:c r="P101" s="20" t="n">
        <x:v>5</x:v>
      </x:c>
      <x:c r="Q101" s="18" t="n">
        <x:f>I101*J101</x:f>
        <x:v>56100</x:v>
      </x:c>
      <x:c r="R101" s="18" t="n">
        <x:f>Q101*K101</x:f>
        <x:v>8415</x:v>
      </x:c>
      <x:c r="S101" s="18" t="n">
        <x:f>Q101-R101</x:f>
        <x:v>47685</x:v>
      </x:c>
      <x:c r="T101" s="18" t="n">
        <x:f>I101*L101</x:f>
        <x:v>31800</x:v>
      </x:c>
      <x:c r="U101" s="18" t="n">
        <x:f>S101-T101</x:f>
        <x:v>15885</x:v>
      </x:c>
    </x:row>
    <x:row r="102">
      <x:c r="A102" s="11" t="str">
        <x:v>V-0127</x:v>
      </x:c>
      <x:c r="B102" s="14" t="n">
        <x:v>46070</x:v>
      </x:c>
      <x:c r="C102" s="11" t="str">
        <x:v>Florencia</x:v>
      </x:c>
      <x:c r="D102" s="11" t="str">
        <x:v>Web</x:v>
      </x:c>
      <x:c r="E102" s="11" t="str">
        <x:v>Bebidas</x:v>
      </x:c>
      <x:c r="F102" s="11" t="str">
        <x:v>Bebida caliente</x:v>
      </x:c>
      <x:c r="G102" s="11" t="str">
        <x:v>C-0114</x:v>
      </x:c>
      <x:c r="H102" s="11" t="str">
        <x:v>Nuevo</x:v>
      </x:c>
      <x:c r="I102" s="11" t="n">
        <x:v>2</x:v>
      </x:c>
      <x:c r="J102" s="18" t="n">
        <x:v>6800</x:v>
      </x:c>
      <x:c r="K102" s="16" t="n">
        <x:v>0</x:v>
      </x:c>
      <x:c r="L102" s="18" t="n">
        <x:v>3300</x:v>
      </x:c>
      <x:c r="M102" s="11" t="str">
        <x:v>Billetera digital</x:v>
      </x:c>
      <x:c r="N102" s="11" t="n">
        <x:v>55</x:v>
      </x:c>
      <x:c r="O102" s="11" t="str">
        <x:v>A tiempo</x:v>
      </x:c>
      <x:c r="P102" s="20" t="n">
        <x:v>5</x:v>
      </x:c>
      <x:c r="Q102" s="18" t="n">
        <x:f>I102*J102</x:f>
        <x:v>13600</x:v>
      </x:c>
      <x:c r="R102" s="18" t="n">
        <x:f>Q102*K102</x:f>
        <x:v>0</x:v>
      </x:c>
      <x:c r="S102" s="18" t="n">
        <x:f>Q102-R102</x:f>
        <x:v>13600</x:v>
      </x:c>
      <x:c r="T102" s="18" t="n">
        <x:f>I102*L102</x:f>
        <x:v>6600</x:v>
      </x:c>
      <x:c r="U102" s="18" t="n">
        <x:f>S102-T102</x:f>
        <x:v>7000</x:v>
      </x:c>
    </x:row>
    <x:row r="103">
      <x:c r="A103" s="11" t="str">
        <x:v>V-0236</x:v>
      </x:c>
      <x:c r="B103" s="14" t="n">
        <x:v>46070</x:v>
      </x:c>
      <x:c r="C103" s="11" t="str">
        <x:v>Cali</x:v>
      </x:c>
      <x:c r="D103" s="11" t="str">
        <x:v>Web</x:v>
      </x:c>
      <x:c r="E103" s="11" t="str">
        <x:v>Cuidado personal</x:v>
      </x:c>
      <x:c r="F103" s="11" t="str">
        <x:v>Kit cuidado</x:v>
      </x:c>
      <x:c r="G103" s="11" t="str">
        <x:v>C-0090</x:v>
      </x:c>
      <x:c r="H103" s="11" t="str">
        <x:v>Nuevo</x:v>
      </x:c>
      <x:c r="I103" s="11" t="n">
        <x:v>2</x:v>
      </x:c>
      <x:c r="J103" s="18" t="n">
        <x:v>41400</x:v>
      </x:c>
      <x:c r="K103" s="16" t="n">
        <x:v>0.1</x:v>
      </x:c>
      <x:c r="L103" s="18" t="n">
        <x:v>25100</x:v>
      </x:c>
      <x:c r="M103" s="11" t="str">
        <x:v>Tarjeta</x:v>
      </x:c>
      <x:c r="N103" s="11" t="n">
        <x:v>70</x:v>
      </x:c>
      <x:c r="O103" s="11" t="str">
        <x:v>Tardía</x:v>
      </x:c>
      <x:c r="P103" s="20" t="n">
        <x:v>3</x:v>
      </x:c>
      <x:c r="Q103" s="18" t="n">
        <x:f>I103*J103</x:f>
        <x:v>82800</x:v>
      </x:c>
      <x:c r="R103" s="18" t="n">
        <x:f>Q103*K103</x:f>
        <x:v>8280</x:v>
      </x:c>
      <x:c r="S103" s="18" t="n">
        <x:f>Q103-R103</x:f>
        <x:v>74520</x:v>
      </x:c>
      <x:c r="T103" s="18" t="n">
        <x:f>I103*L103</x:f>
        <x:v>50200</x:v>
      </x:c>
      <x:c r="U103" s="18" t="n">
        <x:f>S103-T103</x:f>
        <x:v>24320</x:v>
      </x:c>
    </x:row>
    <x:row r="104">
      <x:c r="A104" s="11" t="str">
        <x:v>V-0042</x:v>
      </x:c>
      <x:c r="B104" s="14" t="n">
        <x:v>46072</x:v>
      </x:c>
      <x:c r="C104" s="11" t="str">
        <x:v>Medellín</x:v>
      </x:c>
      <x:c r="D104" s="11" t="str">
        <x:v>Tienda</x:v>
      </x:c>
      <x:c r="E104" s="11" t="str">
        <x:v>Bebidas</x:v>
      </x:c>
      <x:c r="F104" s="11" t="str">
        <x:v>Bebida fría</x:v>
      </x:c>
      <x:c r="G104" s="11" t="str">
        <x:v>C-0094</x:v>
      </x:c>
      <x:c r="H104" s="11" t="str">
        <x:v>Nuevo</x:v>
      </x:c>
      <x:c r="I104" s="11" t="n">
        <x:v>3</x:v>
      </x:c>
      <x:c r="J104" s="18" t="n">
        <x:v>6600</x:v>
      </x:c>
      <x:c r="K104" s="16" t="n">
        <x:v>0.1</x:v>
      </x:c>
      <x:c r="L104" s="18" t="n">
        <x:v>3500</x:v>
      </x:c>
      <x:c r="M104" s="11" t="str">
        <x:v>Transferencia</x:v>
      </x:c>
      <x:c r="N104" s="11" t="n">
        <x:v>0</x:v>
      </x:c>
      <x:c r="O104" s="11" t="str">
        <x:v>No aplica</x:v>
      </x:c>
      <x:c r="P104" s="20" t="n">
        <x:v>3</x:v>
      </x:c>
      <x:c r="Q104" s="18" t="n">
        <x:f>I104*J104</x:f>
        <x:v>19800</x:v>
      </x:c>
      <x:c r="R104" s="18" t="n">
        <x:f>Q104*K104</x:f>
        <x:v>1980</x:v>
      </x:c>
      <x:c r="S104" s="18" t="n">
        <x:f>Q104-R104</x:f>
        <x:v>17820</x:v>
      </x:c>
      <x:c r="T104" s="18" t="n">
        <x:f>I104*L104</x:f>
        <x:v>10500</x:v>
      </x:c>
      <x:c r="U104" s="18" t="n">
        <x:f>S104-T104</x:f>
        <x:v>7320</x:v>
      </x:c>
    </x:row>
    <x:row r="105">
      <x:c r="A105" s="11" t="str">
        <x:v>V-0125</x:v>
      </x:c>
      <x:c r="B105" s="14" t="n">
        <x:v>46072</x:v>
      </x:c>
      <x:c r="C105" s="11" t="str">
        <x:v>Neiva</x:v>
      </x:c>
      <x:c r="D105" s="11" t="str">
        <x:v>Web</x:v>
      </x:c>
      <x:c r="E105" s="11" t="str">
        <x:v>Bebidas</x:v>
      </x:c>
      <x:c r="F105" s="11" t="str">
        <x:v>Bebida premium</x:v>
      </x:c>
      <x:c r="G105" s="11" t="str">
        <x:v>C-0055</x:v>
      </x:c>
      <x:c r="H105" s="11" t="str">
        <x:v>Recurrente</x:v>
      </x:c>
      <x:c r="I105" s="11" t="n">
        <x:v>2</x:v>
      </x:c>
      <x:c r="J105" s="18" t="n">
        <x:v>15100</x:v>
      </x:c>
      <x:c r="K105" s="16" t="n">
        <x:v>0.1</x:v>
      </x:c>
      <x:c r="L105" s="18" t="n">
        <x:v>8500</x:v>
      </x:c>
      <x:c r="M105" s="11" t="str">
        <x:v>Billetera digital</x:v>
      </x:c>
      <x:c r="N105" s="11" t="n">
        <x:v>22</x:v>
      </x:c>
      <x:c r="O105" s="11" t="str">
        <x:v>A tiempo</x:v>
      </x:c>
      <x:c r="P105" s="20" t="n">
        <x:v>5</x:v>
      </x:c>
      <x:c r="Q105" s="18" t="n">
        <x:f>I105*J105</x:f>
        <x:v>30200</x:v>
      </x:c>
      <x:c r="R105" s="18" t="n">
        <x:f>Q105*K105</x:f>
        <x:v>3020</x:v>
      </x:c>
      <x:c r="S105" s="18" t="n">
        <x:f>Q105-R105</x:f>
        <x:v>27180</x:v>
      </x:c>
      <x:c r="T105" s="18" t="n">
        <x:f>I105*L105</x:f>
        <x:v>17000</x:v>
      </x:c>
      <x:c r="U105" s="18" t="n">
        <x:f>S105-T105</x:f>
        <x:v>10180</x:v>
      </x:c>
    </x:row>
    <x:row r="106">
      <x:c r="A106" s="11" t="str">
        <x:v>V-0407</x:v>
      </x:c>
      <x:c r="B106" s="14" t="n">
        <x:v>46072</x:v>
      </x:c>
      <x:c r="C106" s="11" t="str">
        <x:v>Medellín</x:v>
      </x:c>
      <x:c r="D106" s="11" t="str">
        <x:v>Web</x:v>
      </x:c>
      <x:c r="E106" s="11" t="str">
        <x:v>Hogar</x:v>
      </x:c>
      <x:c r="F106" s="11" t="str">
        <x:v>Accesorio hogar</x:v>
      </x:c>
      <x:c r="G106" s="11" t="str">
        <x:v>C-0015</x:v>
      </x:c>
      <x:c r="H106" s="11" t="str">
        <x:v>Recurrente</x:v>
      </x:c>
      <x:c r="I106" s="11" t="n">
        <x:v>2</x:v>
      </x:c>
      <x:c r="J106" s="18" t="n">
        <x:v>26000</x:v>
      </x:c>
      <x:c r="K106" s="16" t="n">
        <x:v>0</x:v>
      </x:c>
      <x:c r="L106" s="18" t="n">
        <x:v>17000</x:v>
      </x:c>
      <x:c r="M106" s="11" t="str">
        <x:v>Tarjeta</x:v>
      </x:c>
      <x:c r="N106" s="11" t="n">
        <x:v>45</x:v>
      </x:c>
      <x:c r="O106" s="11" t="str">
        <x:v>A tiempo</x:v>
      </x:c>
      <x:c r="P106" s="20" t="n">
        <x:v>3</x:v>
      </x:c>
      <x:c r="Q106" s="18" t="n">
        <x:f>I106*J106</x:f>
        <x:v>52000</x:v>
      </x:c>
      <x:c r="R106" s="18" t="n">
        <x:f>Q106*K106</x:f>
        <x:v>0</x:v>
      </x:c>
      <x:c r="S106" s="18" t="n">
        <x:f>Q106-R106</x:f>
        <x:v>52000</x:v>
      </x:c>
      <x:c r="T106" s="18" t="n">
        <x:f>I106*L106</x:f>
        <x:v>34000</x:v>
      </x:c>
      <x:c r="U106" s="18" t="n">
        <x:f>S106-T106</x:f>
        <x:v>18000</x:v>
      </x:c>
    </x:row>
    <x:row r="107">
      <x:c r="A107" s="11" t="str">
        <x:v>V-0184</x:v>
      </x:c>
      <x:c r="B107" s="14" t="n">
        <x:v>46073</x:v>
      </x:c>
      <x:c r="C107" s="11" t="str">
        <x:v>Neiva</x:v>
      </x:c>
      <x:c r="D107" s="11" t="str">
        <x:v>Tienda</x:v>
      </x:c>
      <x:c r="E107" s="11" t="str">
        <x:v>Cuidado personal</x:v>
      </x:c>
      <x:c r="F107" s="11" t="str">
        <x:v>Kit cuidado</x:v>
      </x:c>
      <x:c r="G107" s="11" t="str">
        <x:v>C-0076</x:v>
      </x:c>
      <x:c r="H107" s="11" t="str">
        <x:v>Recurrente</x:v>
      </x:c>
      <x:c r="I107" s="11" t="n">
        <x:v>3</x:v>
      </x:c>
      <x:c r="J107" s="18" t="n">
        <x:v>41100</x:v>
      </x:c>
      <x:c r="K107" s="16" t="n">
        <x:v>0</x:v>
      </x:c>
      <x:c r="L107" s="18" t="n">
        <x:v>25300</x:v>
      </x:c>
      <x:c r="M107" s="11" t="str">
        <x:v>Tarjeta</x:v>
      </x:c>
      <x:c r="N107" s="11" t="n">
        <x:v>0</x:v>
      </x:c>
      <x:c r="O107" s="11" t="str">
        <x:v>No aplica</x:v>
      </x:c>
      <x:c r="P107" s="20" t="n">
        <x:v>5</x:v>
      </x:c>
      <x:c r="Q107" s="18" t="n">
        <x:f>I107*J107</x:f>
        <x:v>123300</x:v>
      </x:c>
      <x:c r="R107" s="18" t="n">
        <x:f>Q107*K107</x:f>
        <x:v>0</x:v>
      </x:c>
      <x:c r="S107" s="18" t="n">
        <x:f>Q107-R107</x:f>
        <x:v>123300</x:v>
      </x:c>
      <x:c r="T107" s="18" t="n">
        <x:f>I107*L107</x:f>
        <x:v>75900</x:v>
      </x:c>
      <x:c r="U107" s="18" t="n">
        <x:f>S107-T107</x:f>
        <x:v>47400</x:v>
      </x:c>
    </x:row>
    <x:row r="108">
      <x:c r="A108" s="11" t="str">
        <x:v>V-0219</x:v>
      </x:c>
      <x:c r="B108" s="14" t="n">
        <x:v>46073</x:v>
      </x:c>
      <x:c r="C108" s="11" t="str">
        <x:v>Ibagué</x:v>
      </x:c>
      <x:c r="D108" s="11" t="str">
        <x:v>Web</x:v>
      </x:c>
      <x:c r="E108" s="11" t="str">
        <x:v>Alimentos</x:v>
      </x:c>
      <x:c r="F108" s="11" t="str">
        <x:v>Combo almuerzo</x:v>
      </x:c>
      <x:c r="G108" s="11" t="str">
        <x:v>C-0086</x:v>
      </x:c>
      <x:c r="H108" s="11" t="str">
        <x:v>Recurrente</x:v>
      </x:c>
      <x:c r="I108" s="11" t="n">
        <x:v>2</x:v>
      </x:c>
      <x:c r="J108" s="18" t="n">
        <x:v>21700</x:v>
      </x:c>
      <x:c r="K108" s="16" t="n">
        <x:v>0.05</x:v>
      </x:c>
      <x:c r="L108" s="18" t="n">
        <x:v>12400</x:v>
      </x:c>
      <x:c r="M108" s="11" t="str">
        <x:v>Transferencia</x:v>
      </x:c>
      <x:c r="N108" s="11" t="n">
        <x:v>72</x:v>
      </x:c>
      <x:c r="O108" s="11" t="str">
        <x:v>Tardía</x:v>
      </x:c>
      <x:c r="P108" s="20" t="n">
        <x:v>5</x:v>
      </x:c>
      <x:c r="Q108" s="18" t="n">
        <x:f>I108*J108</x:f>
        <x:v>43400</x:v>
      </x:c>
      <x:c r="R108" s="18" t="n">
        <x:f>Q108*K108</x:f>
        <x:v>2170</x:v>
      </x:c>
      <x:c r="S108" s="18" t="n">
        <x:f>Q108-R108</x:f>
        <x:v>41230</x:v>
      </x:c>
      <x:c r="T108" s="18" t="n">
        <x:f>I108*L108</x:f>
        <x:v>24800</x:v>
      </x:c>
      <x:c r="U108" s="18" t="n">
        <x:f>S108-T108</x:f>
        <x:v>16430</x:v>
      </x:c>
    </x:row>
    <x:row r="109">
      <x:c r="A109" s="11" t="str">
        <x:v>V-0245</x:v>
      </x:c>
      <x:c r="B109" s="14" t="n">
        <x:v>46073</x:v>
      </x:c>
      <x:c r="C109" s="11" t="str">
        <x:v>Medellín</x:v>
      </x:c>
      <x:c r="D109" s="11" t="str">
        <x:v>App</x:v>
      </x:c>
      <x:c r="E109" s="11" t="str">
        <x:v>Hogar</x:v>
      </x:c>
      <x:c r="F109" s="11" t="str">
        <x:v>Kit limpieza</x:v>
      </x:c>
      <x:c r="G109" s="11" t="str">
        <x:v>C-0117</x:v>
      </x:c>
      <x:c r="H109" s="11" t="str">
        <x:v>Recurrente</x:v>
      </x:c>
      <x:c r="I109" s="11" t="n">
        <x:v>1</x:v>
      </x:c>
      <x:c r="J109" s="18" t="n">
        <x:v>21900</x:v>
      </x:c>
      <x:c r="K109" s="16" t="n">
        <x:v>0.05</x:v>
      </x:c>
      <x:c r="L109" s="18" t="n">
        <x:v>12500</x:v>
      </x:c>
      <x:c r="M109" s="11" t="str">
        <x:v>Billetera digital</x:v>
      </x:c>
      <x:c r="N109" s="11" t="n">
        <x:v>31</x:v>
      </x:c>
      <x:c r="O109" s="11" t="str">
        <x:v>A tiempo</x:v>
      </x:c>
      <x:c r="P109" s="20" t="n">
        <x:v>2</x:v>
      </x:c>
      <x:c r="Q109" s="18" t="n">
        <x:f>I109*J109</x:f>
        <x:v>21900</x:v>
      </x:c>
      <x:c r="R109" s="18" t="n">
        <x:f>Q109*K109</x:f>
        <x:v>1095</x:v>
      </x:c>
      <x:c r="S109" s="18" t="n">
        <x:f>Q109-R109</x:f>
        <x:v>20805</x:v>
      </x:c>
      <x:c r="T109" s="18" t="n">
        <x:f>I109*L109</x:f>
        <x:v>12500</x:v>
      </x:c>
      <x:c r="U109" s="18" t="n">
        <x:f>S109-T109</x:f>
        <x:v>8305</x:v>
      </x:c>
    </x:row>
    <x:row r="110">
      <x:c r="A110" s="11" t="str">
        <x:v>V-0353</x:v>
      </x:c>
      <x:c r="B110" s="14" t="n">
        <x:v>46073</x:v>
      </x:c>
      <x:c r="C110" s="11" t="str">
        <x:v>Cali</x:v>
      </x:c>
      <x:c r="D110" s="11" t="str">
        <x:v>App</x:v>
      </x:c>
      <x:c r="E110" s="11" t="str">
        <x:v>Cuidado personal</x:v>
      </x:c>
      <x:c r="F110" s="11" t="str">
        <x:v>Accesorio personal</x:v>
      </x:c>
      <x:c r="G110" s="11" t="str">
        <x:v>C-0018</x:v>
      </x:c>
      <x:c r="H110" s="11" t="str">
        <x:v>Recurrente</x:v>
      </x:c>
      <x:c r="I110" s="11" t="n">
        <x:v>2</x:v>
      </x:c>
      <x:c r="J110" s="18" t="n">
        <x:v>16700</x:v>
      </x:c>
      <x:c r="K110" s="16" t="n">
        <x:v>0</x:v>
      </x:c>
      <x:c r="L110" s="18" t="n">
        <x:v>9200</x:v>
      </x:c>
      <x:c r="M110" s="11" t="str">
        <x:v>Billetera digital</x:v>
      </x:c>
      <x:c r="N110" s="11" t="n">
        <x:v>29</x:v>
      </x:c>
      <x:c r="O110" s="11" t="str">
        <x:v>A tiempo</x:v>
      </x:c>
      <x:c r="P110" s="20" t="n">
        <x:v>5</x:v>
      </x:c>
      <x:c r="Q110" s="18" t="n">
        <x:f>I110*J110</x:f>
        <x:v>33400</x:v>
      </x:c>
      <x:c r="R110" s="18" t="n">
        <x:f>Q110*K110</x:f>
        <x:v>0</x:v>
      </x:c>
      <x:c r="S110" s="18" t="n">
        <x:f>Q110-R110</x:f>
        <x:v>33400</x:v>
      </x:c>
      <x:c r="T110" s="18" t="n">
        <x:f>I110*L110</x:f>
        <x:v>18400</x:v>
      </x:c>
      <x:c r="U110" s="18" t="n">
        <x:f>S110-T110</x:f>
        <x:v>15000</x:v>
      </x:c>
    </x:row>
    <x:row r="111">
      <x:c r="A111" s="11" t="str">
        <x:v>V-0414</x:v>
      </x:c>
      <x:c r="B111" s="14" t="n">
        <x:v>46073</x:v>
      </x:c>
      <x:c r="C111" s="11" t="str">
        <x:v>Ibagué</x:v>
      </x:c>
      <x:c r="D111" s="11" t="str">
        <x:v>Tienda</x:v>
      </x:c>
      <x:c r="E111" s="11" t="str">
        <x:v>Alimentos</x:v>
      </x:c>
      <x:c r="F111" s="11" t="str">
        <x:v>Combo almuerzo</x:v>
      </x:c>
      <x:c r="G111" s="11" t="str">
        <x:v>C-0028</x:v>
      </x:c>
      <x:c r="H111" s="11" t="str">
        <x:v>Recurrente</x:v>
      </x:c>
      <x:c r="I111" s="11" t="n">
        <x:v>1</x:v>
      </x:c>
      <x:c r="J111" s="18" t="n">
        <x:v>21000</x:v>
      </x:c>
      <x:c r="K111" s="16" t="n">
        <x:v>0</x:v>
      </x:c>
      <x:c r="L111" s="18" t="n">
        <x:v>12200</x:v>
      </x:c>
      <x:c r="M111" s="11" t="str">
        <x:v>Billetera digital</x:v>
      </x:c>
      <x:c r="N111" s="11" t="n">
        <x:v>0</x:v>
      </x:c>
      <x:c r="O111" s="11" t="str">
        <x:v>No aplica</x:v>
      </x:c>
      <x:c r="P111" s="20" t="n">
        <x:v>5</x:v>
      </x:c>
      <x:c r="Q111" s="18" t="n">
        <x:f>I111*J111</x:f>
        <x:v>21000</x:v>
      </x:c>
      <x:c r="R111" s="18" t="n">
        <x:f>Q111*K111</x:f>
        <x:v>0</x:v>
      </x:c>
      <x:c r="S111" s="18" t="n">
        <x:f>Q111-R111</x:f>
        <x:v>21000</x:v>
      </x:c>
      <x:c r="T111" s="18" t="n">
        <x:f>I111*L111</x:f>
        <x:v>12200</x:v>
      </x:c>
      <x:c r="U111" s="18" t="n">
        <x:f>S111-T111</x:f>
        <x:v>8800</x:v>
      </x:c>
    </x:row>
    <x:row r="112">
      <x:c r="A112" s="11" t="str">
        <x:v>V-0119</x:v>
      </x:c>
      <x:c r="B112" s="14" t="n">
        <x:v>46074</x:v>
      </x:c>
      <x:c r="C112" s="11" t="str">
        <x:v>Bogotá</x:v>
      </x:c>
      <x:c r="D112" s="11" t="str">
        <x:v>Tienda</x:v>
      </x:c>
      <x:c r="E112" s="11" t="str">
        <x:v>Cuidado personal</x:v>
      </x:c>
      <x:c r="F112" s="11" t="str">
        <x:v>Producto bienestar</x:v>
      </x:c>
      <x:c r="G112" s="11" t="str">
        <x:v>C-0061</x:v>
      </x:c>
      <x:c r="H112" s="11" t="str">
        <x:v>Recurrente</x:v>
      </x:c>
      <x:c r="I112" s="11" t="n">
        <x:v>1</x:v>
      </x:c>
      <x:c r="J112" s="18" t="n">
        <x:v>34800</x:v>
      </x:c>
      <x:c r="K112" s="16" t="n">
        <x:v>0.05</x:v>
      </x:c>
      <x:c r="L112" s="18" t="n">
        <x:v>19900</x:v>
      </x:c>
      <x:c r="M112" s="11" t="str">
        <x:v>Billetera digital</x:v>
      </x:c>
      <x:c r="N112" s="11" t="n">
        <x:v>0</x:v>
      </x:c>
      <x:c r="O112" s="11" t="str">
        <x:v>No aplica</x:v>
      </x:c>
      <x:c r="P112" s="20" t="n">
        <x:v>5</x:v>
      </x:c>
      <x:c r="Q112" s="18" t="n">
        <x:f>I112*J112</x:f>
        <x:v>34800</x:v>
      </x:c>
      <x:c r="R112" s="18" t="n">
        <x:f>Q112*K112</x:f>
        <x:v>1740</x:v>
      </x:c>
      <x:c r="S112" s="18" t="n">
        <x:f>Q112-R112</x:f>
        <x:v>33060</x:v>
      </x:c>
      <x:c r="T112" s="18" t="n">
        <x:f>I112*L112</x:f>
        <x:v>19900</x:v>
      </x:c>
      <x:c r="U112" s="18" t="n">
        <x:f>S112-T112</x:f>
        <x:v>13160</x:v>
      </x:c>
    </x:row>
    <x:row r="113">
      <x:c r="A113" s="11" t="str">
        <x:v>V-0327</x:v>
      </x:c>
      <x:c r="B113" s="14" t="n">
        <x:v>46074</x:v>
      </x:c>
      <x:c r="C113" s="11" t="str">
        <x:v>Cali</x:v>
      </x:c>
      <x:c r="D113" s="11" t="str">
        <x:v>Tienda</x:v>
      </x:c>
      <x:c r="E113" s="11" t="str">
        <x:v>Hogar</x:v>
      </x:c>
      <x:c r="F113" s="11" t="str">
        <x:v>Organizador</x:v>
      </x:c>
      <x:c r="G113" s="11" t="str">
        <x:v>C-0056</x:v>
      </x:c>
      <x:c r="H113" s="11" t="str">
        <x:v>Recurrente</x:v>
      </x:c>
      <x:c r="I113" s="11" t="n">
        <x:v>2</x:v>
      </x:c>
      <x:c r="J113" s="18" t="n">
        <x:v>39500</x:v>
      </x:c>
      <x:c r="K113" s="16" t="n">
        <x:v>0.05</x:v>
      </x:c>
      <x:c r="L113" s="18" t="n">
        <x:v>25200</x:v>
      </x:c>
      <x:c r="M113" s="11" t="str">
        <x:v>Billetera digital</x:v>
      </x:c>
      <x:c r="N113" s="11" t="n">
        <x:v>0</x:v>
      </x:c>
      <x:c r="O113" s="11" t="str">
        <x:v>No aplica</x:v>
      </x:c>
      <x:c r="P113" s="20" t="n">
        <x:v>4</x:v>
      </x:c>
      <x:c r="Q113" s="18" t="n">
        <x:f>I113*J113</x:f>
        <x:v>79000</x:v>
      </x:c>
      <x:c r="R113" s="18" t="n">
        <x:f>Q113*K113</x:f>
        <x:v>3950</x:v>
      </x:c>
      <x:c r="S113" s="18" t="n">
        <x:f>Q113-R113</x:f>
        <x:v>75050</x:v>
      </x:c>
      <x:c r="T113" s="18" t="n">
        <x:f>I113*L113</x:f>
        <x:v>50400</x:v>
      </x:c>
      <x:c r="U113" s="18" t="n">
        <x:f>S113-T113</x:f>
        <x:v>24650</x:v>
      </x:c>
    </x:row>
    <x:row r="114">
      <x:c r="A114" s="11" t="str">
        <x:v>V-0320</x:v>
      </x:c>
      <x:c r="B114" s="14" t="n">
        <x:v>46075</x:v>
      </x:c>
      <x:c r="C114" s="11" t="str">
        <x:v>Bogotá</x:v>
      </x:c>
      <x:c r="D114" s="11" t="str">
        <x:v>App</x:v>
      </x:c>
      <x:c r="E114" s="11" t="str">
        <x:v>Hogar</x:v>
      </x:c>
      <x:c r="F114" s="11" t="str">
        <x:v>Organizador</x:v>
      </x:c>
      <x:c r="G114" s="11" t="str">
        <x:v>C-0051</x:v>
      </x:c>
      <x:c r="H114" s="11" t="str">
        <x:v>Recurrente</x:v>
      </x:c>
      <x:c r="I114" s="11" t="n">
        <x:v>3</x:v>
      </x:c>
      <x:c r="J114" s="18" t="n">
        <x:v>39100</x:v>
      </x:c>
      <x:c r="K114" s="16" t="n">
        <x:v>0</x:v>
      </x:c>
      <x:c r="L114" s="18" t="n">
        <x:v>24300</x:v>
      </x:c>
      <x:c r="M114" s="11" t="str">
        <x:v>Billetera digital</x:v>
      </x:c>
      <x:c r="N114" s="11" t="n">
        <x:v>52</x:v>
      </x:c>
      <x:c r="O114" s="11" t="str">
        <x:v>A tiempo</x:v>
      </x:c>
      <x:c r="P114" s="20" t="n">
        <x:v>3</x:v>
      </x:c>
      <x:c r="Q114" s="18" t="n">
        <x:f>I114*J114</x:f>
        <x:v>117300</x:v>
      </x:c>
      <x:c r="R114" s="18" t="n">
        <x:f>Q114*K114</x:f>
        <x:v>0</x:v>
      </x:c>
      <x:c r="S114" s="18" t="n">
        <x:f>Q114-R114</x:f>
        <x:v>117300</x:v>
      </x:c>
      <x:c r="T114" s="18" t="n">
        <x:f>I114*L114</x:f>
        <x:v>72900</x:v>
      </x:c>
      <x:c r="U114" s="18" t="n">
        <x:f>S114-T114</x:f>
        <x:v>44400</x:v>
      </x:c>
    </x:row>
    <x:row r="115">
      <x:c r="A115" s="11" t="str">
        <x:v>V-0348</x:v>
      </x:c>
      <x:c r="B115" s="14" t="n">
        <x:v>46075</x:v>
      </x:c>
      <x:c r="C115" s="11" t="str">
        <x:v>Bogotá</x:v>
      </x:c>
      <x:c r="D115" s="11" t="str">
        <x:v>App</x:v>
      </x:c>
      <x:c r="E115" s="11" t="str">
        <x:v>Alimentos</x:v>
      </x:c>
      <x:c r="F115" s="11" t="str">
        <x:v>Producto gourmet</x:v>
      </x:c>
      <x:c r="G115" s="11" t="str">
        <x:v>C-0036</x:v>
      </x:c>
      <x:c r="H115" s="11" t="str">
        <x:v>Recurrente</x:v>
      </x:c>
      <x:c r="I115" s="11" t="n">
        <x:v>3</x:v>
      </x:c>
      <x:c r="J115" s="18" t="n">
        <x:v>34300</x:v>
      </x:c>
      <x:c r="K115" s="16" t="n">
        <x:v>0</x:v>
      </x:c>
      <x:c r="L115" s="18" t="n">
        <x:v>21200</x:v>
      </x:c>
      <x:c r="M115" s="11" t="str">
        <x:v>Transferencia</x:v>
      </x:c>
      <x:c r="N115" s="11" t="n">
        <x:v>46</x:v>
      </x:c>
      <x:c r="O115" s="11" t="str">
        <x:v>A tiempo</x:v>
      </x:c>
      <x:c r="P115" s="20" t="n">
        <x:v>3</x:v>
      </x:c>
      <x:c r="Q115" s="18" t="n">
        <x:f>I115*J115</x:f>
        <x:v>102900</x:v>
      </x:c>
      <x:c r="R115" s="18" t="n">
        <x:f>Q115*K115</x:f>
        <x:v>0</x:v>
      </x:c>
      <x:c r="S115" s="18" t="n">
        <x:f>Q115-R115</x:f>
        <x:v>102900</x:v>
      </x:c>
      <x:c r="T115" s="18" t="n">
        <x:f>I115*L115</x:f>
        <x:v>63600</x:v>
      </x:c>
      <x:c r="U115" s="18" t="n">
        <x:f>S115-T115</x:f>
        <x:v>39300</x:v>
      </x:c>
    </x:row>
    <x:row r="116">
      <x:c r="A116" s="11" t="str">
        <x:v>V-0410</x:v>
      </x:c>
      <x:c r="B116" s="14" t="n">
        <x:v>46075</x:v>
      </x:c>
      <x:c r="C116" s="11" t="str">
        <x:v>Florencia</x:v>
      </x:c>
      <x:c r="D116" s="11" t="str">
        <x:v>App</x:v>
      </x:c>
      <x:c r="E116" s="11" t="str">
        <x:v>Cuidado personal</x:v>
      </x:c>
      <x:c r="F116" s="11" t="str">
        <x:v>Kit cuidado</x:v>
      </x:c>
      <x:c r="G116" s="11" t="str">
        <x:v>C-0042</x:v>
      </x:c>
      <x:c r="H116" s="11" t="str">
        <x:v>Recurrente</x:v>
      </x:c>
      <x:c r="I116" s="11" t="n">
        <x:v>1</x:v>
      </x:c>
      <x:c r="J116" s="18" t="n">
        <x:v>39900</x:v>
      </x:c>
      <x:c r="K116" s="16" t="n">
        <x:v>0</x:v>
      </x:c>
      <x:c r="L116" s="18" t="n">
        <x:v>24100</x:v>
      </x:c>
      <x:c r="M116" s="11" t="str">
        <x:v>Tarjeta</x:v>
      </x:c>
      <x:c r="N116" s="11" t="n">
        <x:v>65</x:v>
      </x:c>
      <x:c r="O116" s="11" t="str">
        <x:v>A tiempo</x:v>
      </x:c>
      <x:c r="P116" s="20" t="n">
        <x:v>2</x:v>
      </x:c>
      <x:c r="Q116" s="18" t="n">
        <x:f>I116*J116</x:f>
        <x:v>39900</x:v>
      </x:c>
      <x:c r="R116" s="18" t="n">
        <x:f>Q116*K116</x:f>
        <x:v>0</x:v>
      </x:c>
      <x:c r="S116" s="18" t="n">
        <x:f>Q116-R116</x:f>
        <x:v>39900</x:v>
      </x:c>
      <x:c r="T116" s="18" t="n">
        <x:f>I116*L116</x:f>
        <x:v>24100</x:v>
      </x:c>
      <x:c r="U116" s="18" t="n">
        <x:f>S116-T116</x:f>
        <x:v>15800</x:v>
      </x:c>
    </x:row>
    <x:row r="117">
      <x:c r="A117" s="11" t="str">
        <x:v>V-0419</x:v>
      </x:c>
      <x:c r="B117" s="14" t="n">
        <x:v>46075</x:v>
      </x:c>
      <x:c r="C117" s="11" t="str">
        <x:v>Medellín</x:v>
      </x:c>
      <x:c r="D117" s="11" t="str">
        <x:v>Web</x:v>
      </x:c>
      <x:c r="E117" s="11" t="str">
        <x:v>Hogar</x:v>
      </x:c>
      <x:c r="F117" s="11" t="str">
        <x:v>Kit limpieza</x:v>
      </x:c>
      <x:c r="G117" s="11" t="str">
        <x:v>C-0105</x:v>
      </x:c>
      <x:c r="H117" s="11" t="str">
        <x:v>Recurrente</x:v>
      </x:c>
      <x:c r="I117" s="11" t="n">
        <x:v>3</x:v>
      </x:c>
      <x:c r="J117" s="18" t="n">
        <x:v>22200</x:v>
      </x:c>
      <x:c r="K117" s="16" t="n">
        <x:v>0</x:v>
      </x:c>
      <x:c r="L117" s="18" t="n">
        <x:v>13400</x:v>
      </x:c>
      <x:c r="M117" s="11" t="str">
        <x:v>Billetera digital</x:v>
      </x:c>
      <x:c r="N117" s="11" t="n">
        <x:v>48</x:v>
      </x:c>
      <x:c r="O117" s="11" t="str">
        <x:v>A tiempo</x:v>
      </x:c>
      <x:c r="P117" s="20" t="n">
        <x:v>4</x:v>
      </x:c>
      <x:c r="Q117" s="18" t="n">
        <x:f>I117*J117</x:f>
        <x:v>66600</x:v>
      </x:c>
      <x:c r="R117" s="18" t="n">
        <x:f>Q117*K117</x:f>
        <x:v>0</x:v>
      </x:c>
      <x:c r="S117" s="18" t="n">
        <x:f>Q117-R117</x:f>
        <x:v>66600</x:v>
      </x:c>
      <x:c r="T117" s="18" t="n">
        <x:f>I117*L117</x:f>
        <x:v>40200</x:v>
      </x:c>
      <x:c r="U117" s="18" t="n">
        <x:f>S117-T117</x:f>
        <x:v>26400</x:v>
      </x:c>
    </x:row>
    <x:row r="118">
      <x:c r="A118" s="11" t="str">
        <x:v>V-0051</x:v>
      </x:c>
      <x:c r="B118" s="14" t="n">
        <x:v>46076</x:v>
      </x:c>
      <x:c r="C118" s="11" t="str">
        <x:v>Bogotá</x:v>
      </x:c>
      <x:c r="D118" s="11" t="str">
        <x:v>Web</x:v>
      </x:c>
      <x:c r="E118" s="11" t="str">
        <x:v>Alimentos</x:v>
      </x:c>
      <x:c r="F118" s="11" t="str">
        <x:v>Combo almuerzo</x:v>
      </x:c>
      <x:c r="G118" s="11" t="str">
        <x:v>C-0065</x:v>
      </x:c>
      <x:c r="H118" s="11" t="str">
        <x:v>Recurrente</x:v>
      </x:c>
      <x:c r="I118" s="11" t="n">
        <x:v>1</x:v>
      </x:c>
      <x:c r="J118" s="18" t="n">
        <x:v>21200</x:v>
      </x:c>
      <x:c r="K118" s="16" t="n">
        <x:v>0</x:v>
      </x:c>
      <x:c r="L118" s="18" t="n">
        <x:v>12700</x:v>
      </x:c>
      <x:c r="M118" s="11" t="str">
        <x:v>Efectivo</x:v>
      </x:c>
      <x:c r="N118" s="11" t="n">
        <x:v>74</x:v>
      </x:c>
      <x:c r="O118" s="11" t="str">
        <x:v>Tardía</x:v>
      </x:c>
      <x:c r="P118" s="20" t="n">
        <x:v>4</x:v>
      </x:c>
      <x:c r="Q118" s="18" t="n">
        <x:f>I118*J118</x:f>
        <x:v>21200</x:v>
      </x:c>
      <x:c r="R118" s="18" t="n">
        <x:f>Q118*K118</x:f>
        <x:v>0</x:v>
      </x:c>
      <x:c r="S118" s="18" t="n">
        <x:f>Q118-R118</x:f>
        <x:v>21200</x:v>
      </x:c>
      <x:c r="T118" s="18" t="n">
        <x:f>I118*L118</x:f>
        <x:v>12700</x:v>
      </x:c>
      <x:c r="U118" s="18" t="n">
        <x:f>S118-T118</x:f>
        <x:v>8500</x:v>
      </x:c>
    </x:row>
    <x:row r="119">
      <x:c r="A119" s="11" t="str">
        <x:v>V-0256</x:v>
      </x:c>
      <x:c r="B119" s="14" t="n">
        <x:v>46077</x:v>
      </x:c>
      <x:c r="C119" s="11" t="str">
        <x:v>Bogotá</x:v>
      </x:c>
      <x:c r="D119" s="11" t="str">
        <x:v>App</x:v>
      </x:c>
      <x:c r="E119" s="11" t="str">
        <x:v>Bebidas</x:v>
      </x:c>
      <x:c r="F119" s="11" t="str">
        <x:v>Bebida caliente</x:v>
      </x:c>
      <x:c r="G119" s="11" t="str">
        <x:v>C-0024</x:v>
      </x:c>
      <x:c r="H119" s="11" t="str">
        <x:v>Recurrente</x:v>
      </x:c>
      <x:c r="I119" s="11" t="n">
        <x:v>3</x:v>
      </x:c>
      <x:c r="J119" s="18" t="n">
        <x:v>6600</x:v>
      </x:c>
      <x:c r="K119" s="16" t="n">
        <x:v>0</x:v>
      </x:c>
      <x:c r="L119" s="18" t="n">
        <x:v>3300</x:v>
      </x:c>
      <x:c r="M119" s="11" t="str">
        <x:v>Transferencia</x:v>
      </x:c>
      <x:c r="N119" s="11" t="n">
        <x:v>48</x:v>
      </x:c>
      <x:c r="O119" s="11" t="str">
        <x:v>A tiempo</x:v>
      </x:c>
      <x:c r="P119" s="20" t="n">
        <x:v>5</x:v>
      </x:c>
      <x:c r="Q119" s="18" t="n">
        <x:f>I119*J119</x:f>
        <x:v>19800</x:v>
      </x:c>
      <x:c r="R119" s="18" t="n">
        <x:f>Q119*K119</x:f>
        <x:v>0</x:v>
      </x:c>
      <x:c r="S119" s="18" t="n">
        <x:f>Q119-R119</x:f>
        <x:v>19800</x:v>
      </x:c>
      <x:c r="T119" s="18" t="n">
        <x:f>I119*L119</x:f>
        <x:v>9900</x:v>
      </x:c>
      <x:c r="U119" s="18" t="n">
        <x:f>S119-T119</x:f>
        <x:v>9900</x:v>
      </x:c>
    </x:row>
    <x:row r="120">
      <x:c r="A120" s="11" t="str">
        <x:v>V-0301</x:v>
      </x:c>
      <x:c r="B120" s="14" t="n">
        <x:v>46077</x:v>
      </x:c>
      <x:c r="C120" s="11" t="str">
        <x:v>Bogotá</x:v>
      </x:c>
      <x:c r="D120" s="11" t="str">
        <x:v>App</x:v>
      </x:c>
      <x:c r="E120" s="11" t="str">
        <x:v>Alimentos</x:v>
      </x:c>
      <x:c r="F120" s="11" t="str">
        <x:v>Producto gourmet</x:v>
      </x:c>
      <x:c r="G120" s="11" t="str">
        <x:v>C-0110</x:v>
      </x:c>
      <x:c r="H120" s="11" t="str">
        <x:v>Recurrente</x:v>
      </x:c>
      <x:c r="I120" s="11" t="n">
        <x:v>2</x:v>
      </x:c>
      <x:c r="J120" s="18" t="n">
        <x:v>34200</x:v>
      </x:c>
      <x:c r="K120" s="16" t="n">
        <x:v>0.05</x:v>
      </x:c>
      <x:c r="L120" s="18" t="n">
        <x:v>22700</x:v>
      </x:c>
      <x:c r="M120" s="11" t="str">
        <x:v>Billetera digital</x:v>
      </x:c>
      <x:c r="N120" s="11" t="n">
        <x:v>55</x:v>
      </x:c>
      <x:c r="O120" s="11" t="str">
        <x:v>A tiempo</x:v>
      </x:c>
      <x:c r="P120" s="20" t="n">
        <x:v>4</x:v>
      </x:c>
      <x:c r="Q120" s="18" t="n">
        <x:f>I120*J120</x:f>
        <x:v>68400</x:v>
      </x:c>
      <x:c r="R120" s="18" t="n">
        <x:f>Q120*K120</x:f>
        <x:v>3420</x:v>
      </x:c>
      <x:c r="S120" s="18" t="n">
        <x:f>Q120-R120</x:f>
        <x:v>64980</x:v>
      </x:c>
      <x:c r="T120" s="18" t="n">
        <x:f>I120*L120</x:f>
        <x:v>45400</x:v>
      </x:c>
      <x:c r="U120" s="18" t="n">
        <x:f>S120-T120</x:f>
        <x:v>19580</x:v>
      </x:c>
    </x:row>
    <x:row r="121">
      <x:c r="A121" s="11" t="str">
        <x:v>V-0332</x:v>
      </x:c>
      <x:c r="B121" s="14" t="n">
        <x:v>46078</x:v>
      </x:c>
      <x:c r="C121" s="11" t="str">
        <x:v>Neiva</x:v>
      </x:c>
      <x:c r="D121" s="11" t="str">
        <x:v>App</x:v>
      </x:c>
      <x:c r="E121" s="11" t="str">
        <x:v>Hogar</x:v>
      </x:c>
      <x:c r="F121" s="11" t="str">
        <x:v>Organizador</x:v>
      </x:c>
      <x:c r="G121" s="11" t="str">
        <x:v>C-0044</x:v>
      </x:c>
      <x:c r="H121" s="11" t="str">
        <x:v>Recurrente</x:v>
      </x:c>
      <x:c r="I121" s="11" t="n">
        <x:v>2</x:v>
      </x:c>
      <x:c r="J121" s="18" t="n">
        <x:v>36500</x:v>
      </x:c>
      <x:c r="K121" s="16" t="n">
        <x:v>0</x:v>
      </x:c>
      <x:c r="L121" s="18" t="n">
        <x:v>21400</x:v>
      </x:c>
      <x:c r="M121" s="11" t="str">
        <x:v>Tarjeta</x:v>
      </x:c>
      <x:c r="N121" s="11" t="n">
        <x:v>34</x:v>
      </x:c>
      <x:c r="O121" s="11" t="str">
        <x:v>A tiempo</x:v>
      </x:c>
      <x:c r="P121" s="20" t="n">
        <x:v>5</x:v>
      </x:c>
      <x:c r="Q121" s="18" t="n">
        <x:f>I121*J121</x:f>
        <x:v>73000</x:v>
      </x:c>
      <x:c r="R121" s="18" t="n">
        <x:f>Q121*K121</x:f>
        <x:v>0</x:v>
      </x:c>
      <x:c r="S121" s="18" t="n">
        <x:f>Q121-R121</x:f>
        <x:v>73000</x:v>
      </x:c>
      <x:c r="T121" s="18" t="n">
        <x:f>I121*L121</x:f>
        <x:v>42800</x:v>
      </x:c>
      <x:c r="U121" s="18" t="n">
        <x:f>S121-T121</x:f>
        <x:v>30200</x:v>
      </x:c>
    </x:row>
    <x:row r="122">
      <x:c r="A122" s="11" t="str">
        <x:v>V-0337</x:v>
      </x:c>
      <x:c r="B122" s="14" t="n">
        <x:v>46080</x:v>
      </x:c>
      <x:c r="C122" s="11" t="str">
        <x:v>Neiva</x:v>
      </x:c>
      <x:c r="D122" s="11" t="str">
        <x:v>Tienda</x:v>
      </x:c>
      <x:c r="E122" s="11" t="str">
        <x:v>Hogar</x:v>
      </x:c>
      <x:c r="F122" s="11" t="str">
        <x:v>Kit limpieza</x:v>
      </x:c>
      <x:c r="G122" s="11" t="str">
        <x:v>C-0037</x:v>
      </x:c>
      <x:c r="H122" s="11" t="str">
        <x:v>Recurrente</x:v>
      </x:c>
      <x:c r="I122" s="11" t="n">
        <x:v>3</x:v>
      </x:c>
      <x:c r="J122" s="18" t="n">
        <x:v>25300</x:v>
      </x:c>
      <x:c r="K122" s="16" t="n">
        <x:v>0.1</x:v>
      </x:c>
      <x:c r="L122" s="18" t="n">
        <x:v>15300</x:v>
      </x:c>
      <x:c r="M122" s="11" t="str">
        <x:v>Efectivo</x:v>
      </x:c>
      <x:c r="N122" s="11" t="n">
        <x:v>0</x:v>
      </x:c>
      <x:c r="O122" s="11" t="str">
        <x:v>No aplica</x:v>
      </x:c>
      <x:c r="P122" s="20" t="n">
        <x:v>5</x:v>
      </x:c>
      <x:c r="Q122" s="18" t="n">
        <x:f>I122*J122</x:f>
        <x:v>75900</x:v>
      </x:c>
      <x:c r="R122" s="18" t="n">
        <x:f>Q122*K122</x:f>
        <x:v>7590</x:v>
      </x:c>
      <x:c r="S122" s="18" t="n">
        <x:f>Q122-R122</x:f>
        <x:v>68310</x:v>
      </x:c>
      <x:c r="T122" s="18" t="n">
        <x:f>I122*L122</x:f>
        <x:v>45900</x:v>
      </x:c>
      <x:c r="U122" s="18" t="n">
        <x:f>S122-T122</x:f>
        <x:v>22410</x:v>
      </x:c>
    </x:row>
    <x:row r="123">
      <x:c r="A123" s="11" t="str">
        <x:v>V-0073</x:v>
      </x:c>
      <x:c r="B123" s="14" t="n">
        <x:v>46081</x:v>
      </x:c>
      <x:c r="C123" s="11" t="str">
        <x:v>Florencia</x:v>
      </x:c>
      <x:c r="D123" s="11" t="str">
        <x:v>App</x:v>
      </x:c>
      <x:c r="E123" s="11" t="str">
        <x:v>Cuidado personal</x:v>
      </x:c>
      <x:c r="F123" s="11" t="str">
        <x:v>Kit cuidado</x:v>
      </x:c>
      <x:c r="G123" s="11" t="str">
        <x:v>C-0051</x:v>
      </x:c>
      <x:c r="H123" s="11" t="str">
        <x:v>Nuevo</x:v>
      </x:c>
      <x:c r="I123" s="11" t="n">
        <x:v>2</x:v>
      </x:c>
      <x:c r="J123" s="18" t="n">
        <x:v>40500</x:v>
      </x:c>
      <x:c r="K123" s="16" t="n">
        <x:v>0.1</x:v>
      </x:c>
      <x:c r="L123" s="18" t="n">
        <x:v>25900</x:v>
      </x:c>
      <x:c r="M123" s="11" t="str">
        <x:v>Tarjeta</x:v>
      </x:c>
      <x:c r="N123" s="11" t="n">
        <x:v>72</x:v>
      </x:c>
      <x:c r="O123" s="11" t="str">
        <x:v>Tardía</x:v>
      </x:c>
      <x:c r="P123" s="20" t="n">
        <x:v>4</x:v>
      </x:c>
      <x:c r="Q123" s="18" t="n">
        <x:f>I123*J123</x:f>
        <x:v>81000</x:v>
      </x:c>
      <x:c r="R123" s="18" t="n">
        <x:f>Q123*K123</x:f>
        <x:v>8100</x:v>
      </x:c>
      <x:c r="S123" s="18" t="n">
        <x:f>Q123-R123</x:f>
        <x:v>72900</x:v>
      </x:c>
      <x:c r="T123" s="18" t="n">
        <x:f>I123*L123</x:f>
        <x:v>51800</x:v>
      </x:c>
      <x:c r="U123" s="18" t="n">
        <x:f>S123-T123</x:f>
        <x:v>21100</x:v>
      </x:c>
    </x:row>
    <x:row r="124">
      <x:c r="A124" s="11" t="str">
        <x:v>V-0228</x:v>
      </x:c>
      <x:c r="B124" s="14" t="n">
        <x:v>46081</x:v>
      </x:c>
      <x:c r="C124" s="11" t="str">
        <x:v>Bogotá</x:v>
      </x:c>
      <x:c r="D124" s="11" t="str">
        <x:v>Tienda</x:v>
      </x:c>
      <x:c r="E124" s="11" t="str">
        <x:v>Cuidado personal</x:v>
      </x:c>
      <x:c r="F124" s="11" t="str">
        <x:v>Accesorio personal</x:v>
      </x:c>
      <x:c r="G124" s="11" t="str">
        <x:v>C-0109</x:v>
      </x:c>
      <x:c r="H124" s="11" t="str">
        <x:v>Recurrente</x:v>
      </x:c>
      <x:c r="I124" s="11" t="n">
        <x:v>4</x:v>
      </x:c>
      <x:c r="J124" s="18" t="n">
        <x:v>18900</x:v>
      </x:c>
      <x:c r="K124" s="16" t="n">
        <x:v>0.05</x:v>
      </x:c>
      <x:c r="L124" s="18" t="n">
        <x:v>10600</x:v>
      </x:c>
      <x:c r="M124" s="11" t="str">
        <x:v>Transferencia</x:v>
      </x:c>
      <x:c r="N124" s="11" t="n">
        <x:v>0</x:v>
      </x:c>
      <x:c r="O124" s="11" t="str">
        <x:v>No aplica</x:v>
      </x:c>
      <x:c r="P124" s="20" t="n">
        <x:v>4</x:v>
      </x:c>
      <x:c r="Q124" s="18" t="n">
        <x:f>I124*J124</x:f>
        <x:v>75600</x:v>
      </x:c>
      <x:c r="R124" s="18" t="n">
        <x:f>Q124*K124</x:f>
        <x:v>3780</x:v>
      </x:c>
      <x:c r="S124" s="18" t="n">
        <x:f>Q124-R124</x:f>
        <x:v>71820</x:v>
      </x:c>
      <x:c r="T124" s="18" t="n">
        <x:f>I124*L124</x:f>
        <x:v>42400</x:v>
      </x:c>
      <x:c r="U124" s="18" t="n">
        <x:f>S124-T124</x:f>
        <x:v>29420</x:v>
      </x:c>
    </x:row>
    <x:row r="125">
      <x:c r="A125" s="11" t="str">
        <x:v>V-0328</x:v>
      </x:c>
      <x:c r="B125" s="14" t="n">
        <x:v>46081</x:v>
      </x:c>
      <x:c r="C125" s="11" t="str">
        <x:v>Medellín</x:v>
      </x:c>
      <x:c r="D125" s="11" t="str">
        <x:v>Tienda</x:v>
      </x:c>
      <x:c r="E125" s="11" t="str">
        <x:v>Hogar</x:v>
      </x:c>
      <x:c r="F125" s="11" t="str">
        <x:v>Organizador</x:v>
      </x:c>
      <x:c r="G125" s="11" t="str">
        <x:v>C-0031</x:v>
      </x:c>
      <x:c r="H125" s="11" t="str">
        <x:v>Recurrente</x:v>
      </x:c>
      <x:c r="I125" s="11" t="n">
        <x:v>2</x:v>
      </x:c>
      <x:c r="J125" s="18" t="n">
        <x:v>39200</x:v>
      </x:c>
      <x:c r="K125" s="16" t="n">
        <x:v>0</x:v>
      </x:c>
      <x:c r="L125" s="18" t="n">
        <x:v>24300</x:v>
      </x:c>
      <x:c r="M125" s="11" t="str">
        <x:v>Transferencia</x:v>
      </x:c>
      <x:c r="N125" s="11" t="n">
        <x:v>0</x:v>
      </x:c>
      <x:c r="O125" s="11" t="str">
        <x:v>No aplica</x:v>
      </x:c>
      <x:c r="P125" s="20" t="n">
        <x:v>4</x:v>
      </x:c>
      <x:c r="Q125" s="18" t="n">
        <x:f>I125*J125</x:f>
        <x:v>78400</x:v>
      </x:c>
      <x:c r="R125" s="18" t="n">
        <x:f>Q125*K125</x:f>
        <x:v>0</x:v>
      </x:c>
      <x:c r="S125" s="18" t="n">
        <x:f>Q125-R125</x:f>
        <x:v>78400</x:v>
      </x:c>
      <x:c r="T125" s="18" t="n">
        <x:f>I125*L125</x:f>
        <x:v>48600</x:v>
      </x:c>
      <x:c r="U125" s="18" t="n">
        <x:f>S125-T125</x:f>
        <x:v>29800</x:v>
      </x:c>
    </x:row>
    <x:row r="126">
      <x:c r="A126" s="11" t="str">
        <x:v>V-0364</x:v>
      </x:c>
      <x:c r="B126" s="14" t="n">
        <x:v>46081</x:v>
      </x:c>
      <x:c r="C126" s="11" t="str">
        <x:v>Neiva</x:v>
      </x:c>
      <x:c r="D126" s="11" t="str">
        <x:v>App</x:v>
      </x:c>
      <x:c r="E126" s="11" t="str">
        <x:v>Alimentos</x:v>
      </x:c>
      <x:c r="F126" s="11" t="str">
        <x:v>Producto gourmet</x:v>
      </x:c>
      <x:c r="G126" s="11" t="str">
        <x:v>C-0052</x:v>
      </x:c>
      <x:c r="H126" s="11" t="str">
        <x:v>Recurrente</x:v>
      </x:c>
      <x:c r="I126" s="11" t="n">
        <x:v>3</x:v>
      </x:c>
      <x:c r="J126" s="18" t="n">
        <x:v>28900</x:v>
      </x:c>
      <x:c r="K126" s="16" t="n">
        <x:v>0.2</x:v>
      </x:c>
      <x:c r="L126" s="18" t="n">
        <x:v>17900</x:v>
      </x:c>
      <x:c r="M126" s="11" t="str">
        <x:v>Billetera digital</x:v>
      </x:c>
      <x:c r="N126" s="11" t="n">
        <x:v>40</x:v>
      </x:c>
      <x:c r="O126" s="11" t="str">
        <x:v>A tiempo</x:v>
      </x:c>
      <x:c r="P126" s="20" t="n">
        <x:v>5</x:v>
      </x:c>
      <x:c r="Q126" s="18" t="n">
        <x:f>I126*J126</x:f>
        <x:v>86700</x:v>
      </x:c>
      <x:c r="R126" s="18" t="n">
        <x:f>Q126*K126</x:f>
        <x:v>17340</x:v>
      </x:c>
      <x:c r="S126" s="18" t="n">
        <x:f>Q126-R126</x:f>
        <x:v>69360</x:v>
      </x:c>
      <x:c r="T126" s="18" t="n">
        <x:f>I126*L126</x:f>
        <x:v>53700</x:v>
      </x:c>
      <x:c r="U126" s="18" t="n">
        <x:f>S126-T126</x:f>
        <x:v>15660</x:v>
      </x:c>
    </x:row>
    <x:row r="127">
      <x:c r="A127" s="11" t="str">
        <x:v>V-0023</x:v>
      </x:c>
      <x:c r="B127" s="14" t="n">
        <x:v>46082</x:v>
      </x:c>
      <x:c r="C127" s="11" t="str">
        <x:v>Florencia</x:v>
      </x:c>
      <x:c r="D127" s="11" t="str">
        <x:v>Web</x:v>
      </x:c>
      <x:c r="E127" s="11" t="str">
        <x:v>Alimentos</x:v>
      </x:c>
      <x:c r="F127" s="11" t="str">
        <x:v>Producto gourmet</x:v>
      </x:c>
      <x:c r="G127" s="11" t="str">
        <x:v>C-0021</x:v>
      </x:c>
      <x:c r="H127" s="11" t="str">
        <x:v>Nuevo</x:v>
      </x:c>
      <x:c r="I127" s="11" t="n">
        <x:v>1</x:v>
      </x:c>
      <x:c r="J127" s="18" t="n">
        <x:v>32500</x:v>
      </x:c>
      <x:c r="K127" s="16" t="n">
        <x:v>0</x:v>
      </x:c>
      <x:c r="L127" s="18" t="n">
        <x:v>20500</x:v>
      </x:c>
      <x:c r="M127" s="11" t="str">
        <x:v>Tarjeta</x:v>
      </x:c>
      <x:c r="N127" s="11" t="n">
        <x:v>64</x:v>
      </x:c>
      <x:c r="O127" s="11" t="str">
        <x:v>A tiempo</x:v>
      </x:c>
      <x:c r="P127" s="20" t="n">
        <x:v>2</x:v>
      </x:c>
      <x:c r="Q127" s="18" t="n">
        <x:f>I127*J127</x:f>
        <x:v>32500</x:v>
      </x:c>
      <x:c r="R127" s="18" t="n">
        <x:f>Q127*K127</x:f>
        <x:v>0</x:v>
      </x:c>
      <x:c r="S127" s="18" t="n">
        <x:f>Q127-R127</x:f>
        <x:v>32500</x:v>
      </x:c>
      <x:c r="T127" s="18" t="n">
        <x:f>I127*L127</x:f>
        <x:v>20500</x:v>
      </x:c>
      <x:c r="U127" s="18" t="n">
        <x:f>S127-T127</x:f>
        <x:v>12000</x:v>
      </x:c>
    </x:row>
    <x:row r="128">
      <x:c r="A128" s="11" t="str">
        <x:v>V-0076</x:v>
      </x:c>
      <x:c r="B128" s="14" t="n">
        <x:v>46082</x:v>
      </x:c>
      <x:c r="C128" s="11" t="str">
        <x:v>Florencia</x:v>
      </x:c>
      <x:c r="D128" s="11" t="str">
        <x:v>Web</x:v>
      </x:c>
      <x:c r="E128" s="11" t="str">
        <x:v>Bebidas</x:v>
      </x:c>
      <x:c r="F128" s="11" t="str">
        <x:v>Bebida caliente</x:v>
      </x:c>
      <x:c r="G128" s="11" t="str">
        <x:v>C-0097</x:v>
      </x:c>
      <x:c r="H128" s="11" t="str">
        <x:v>Nuevo</x:v>
      </x:c>
      <x:c r="I128" s="11" t="n">
        <x:v>1</x:v>
      </x:c>
      <x:c r="J128" s="18" t="n">
        <x:v>6100</x:v>
      </x:c>
      <x:c r="K128" s="16" t="n">
        <x:v>0.15</x:v>
      </x:c>
      <x:c r="L128" s="18" t="n">
        <x:v>3000</x:v>
      </x:c>
      <x:c r="M128" s="11" t="str">
        <x:v>Tarjeta</x:v>
      </x:c>
      <x:c r="N128" s="11" t="n">
        <x:v>83</x:v>
      </x:c>
      <x:c r="O128" s="11" t="str">
        <x:v>Tardía</x:v>
      </x:c>
      <x:c r="P128" s="20" t="n">
        <x:v>4</x:v>
      </x:c>
      <x:c r="Q128" s="18" t="n">
        <x:f>I128*J128</x:f>
        <x:v>6100</x:v>
      </x:c>
      <x:c r="R128" s="18" t="n">
        <x:f>Q128*K128</x:f>
        <x:v>915</x:v>
      </x:c>
      <x:c r="S128" s="18" t="n">
        <x:f>Q128-R128</x:f>
        <x:v>5185</x:v>
      </x:c>
      <x:c r="T128" s="18" t="n">
        <x:f>I128*L128</x:f>
        <x:v>3000</x:v>
      </x:c>
      <x:c r="U128" s="18" t="n">
        <x:f>S128-T128</x:f>
        <x:v>2185</x:v>
      </x:c>
    </x:row>
    <x:row r="129">
      <x:c r="A129" s="11" t="str">
        <x:v>V-0088</x:v>
      </x:c>
      <x:c r="B129" s="14" t="n">
        <x:v>46082</x:v>
      </x:c>
      <x:c r="C129" s="11" t="str">
        <x:v>Neiva</x:v>
      </x:c>
      <x:c r="D129" s="11" t="str">
        <x:v>Web</x:v>
      </x:c>
      <x:c r="E129" s="11" t="str">
        <x:v>Cuidado personal</x:v>
      </x:c>
      <x:c r="F129" s="11" t="str">
        <x:v>Accesorio personal</x:v>
      </x:c>
      <x:c r="G129" s="11" t="str">
        <x:v>C-0013</x:v>
      </x:c>
      <x:c r="H129" s="11" t="str">
        <x:v>Nuevo</x:v>
      </x:c>
      <x:c r="I129" s="11" t="n">
        <x:v>1</x:v>
      </x:c>
      <x:c r="J129" s="18" t="n">
        <x:v>16600</x:v>
      </x:c>
      <x:c r="K129" s="16" t="n">
        <x:v>0.1</x:v>
      </x:c>
      <x:c r="L129" s="18" t="n">
        <x:v>9400</x:v>
      </x:c>
      <x:c r="M129" s="11" t="str">
        <x:v>Tarjeta</x:v>
      </x:c>
      <x:c r="N129" s="11" t="n">
        <x:v>39</x:v>
      </x:c>
      <x:c r="O129" s="11" t="str">
        <x:v>A tiempo</x:v>
      </x:c>
      <x:c r="P129" s="20" t="n">
        <x:v>4</x:v>
      </x:c>
      <x:c r="Q129" s="18" t="n">
        <x:f>I129*J129</x:f>
        <x:v>16600</x:v>
      </x:c>
      <x:c r="R129" s="18" t="n">
        <x:f>Q129*K129</x:f>
        <x:v>1660</x:v>
      </x:c>
      <x:c r="S129" s="18" t="n">
        <x:f>Q129-R129</x:f>
        <x:v>14940</x:v>
      </x:c>
      <x:c r="T129" s="18" t="n">
        <x:f>I129*L129</x:f>
        <x:v>9400</x:v>
      </x:c>
      <x:c r="U129" s="18" t="n">
        <x:f>S129-T129</x:f>
        <x:v>5540</x:v>
      </x:c>
    </x:row>
    <x:row r="130">
      <x:c r="A130" s="11" t="str">
        <x:v>V-0090</x:v>
      </x:c>
      <x:c r="B130" s="14" t="n">
        <x:v>46082</x:v>
      </x:c>
      <x:c r="C130" s="11" t="str">
        <x:v>Medellín</x:v>
      </x:c>
      <x:c r="D130" s="11" t="str">
        <x:v>App</x:v>
      </x:c>
      <x:c r="E130" s="11" t="str">
        <x:v>Bebidas</x:v>
      </x:c>
      <x:c r="F130" s="11" t="str">
        <x:v>Bebida caliente</x:v>
      </x:c>
      <x:c r="G130" s="11" t="str">
        <x:v>C-0085</x:v>
      </x:c>
      <x:c r="H130" s="11" t="str">
        <x:v>Nuevo</x:v>
      </x:c>
      <x:c r="I130" s="11" t="n">
        <x:v>3</x:v>
      </x:c>
      <x:c r="J130" s="18" t="n">
        <x:v>6700</x:v>
      </x:c>
      <x:c r="K130" s="16" t="n">
        <x:v>0</x:v>
      </x:c>
      <x:c r="L130" s="18" t="n">
        <x:v>3300</x:v>
      </x:c>
      <x:c r="M130" s="11" t="str">
        <x:v>Tarjeta</x:v>
      </x:c>
      <x:c r="N130" s="11" t="n">
        <x:v>74</x:v>
      </x:c>
      <x:c r="O130" s="11" t="str">
        <x:v>Tardía</x:v>
      </x:c>
      <x:c r="P130" s="20" t="n">
        <x:v>2</x:v>
      </x:c>
      <x:c r="Q130" s="18" t="n">
        <x:f>I130*J130</x:f>
        <x:v>20100</x:v>
      </x:c>
      <x:c r="R130" s="18" t="n">
        <x:f>Q130*K130</x:f>
        <x:v>0</x:v>
      </x:c>
      <x:c r="S130" s="18" t="n">
        <x:f>Q130-R130</x:f>
        <x:v>20100</x:v>
      </x:c>
      <x:c r="T130" s="18" t="n">
        <x:f>I130*L130</x:f>
        <x:v>9900</x:v>
      </x:c>
      <x:c r="U130" s="18" t="n">
        <x:f>S130-T130</x:f>
        <x:v>10200</x:v>
      </x:c>
    </x:row>
    <x:row r="131">
      <x:c r="A131" s="11" t="str">
        <x:v>V-0264</x:v>
      </x:c>
      <x:c r="B131" s="14" t="n">
        <x:v>46083</x:v>
      </x:c>
      <x:c r="C131" s="11" t="str">
        <x:v>Bogotá</x:v>
      </x:c>
      <x:c r="D131" s="11" t="str">
        <x:v>Web</x:v>
      </x:c>
      <x:c r="E131" s="11" t="str">
        <x:v>Cuidado personal</x:v>
      </x:c>
      <x:c r="F131" s="11" t="str">
        <x:v>Producto bienestar</x:v>
      </x:c>
      <x:c r="G131" s="11" t="str">
        <x:v>C-0029</x:v>
      </x:c>
      <x:c r="H131" s="11" t="str">
        <x:v>Recurrente</x:v>
      </x:c>
      <x:c r="I131" s="11" t="n">
        <x:v>2</x:v>
      </x:c>
      <x:c r="J131" s="18" t="n">
        <x:v>32300</x:v>
      </x:c>
      <x:c r="K131" s="16" t="n">
        <x:v>0.05</x:v>
      </x:c>
      <x:c r="L131" s="18" t="n">
        <x:v>20200</x:v>
      </x:c>
      <x:c r="M131" s="11" t="str">
        <x:v>Tarjeta</x:v>
      </x:c>
      <x:c r="N131" s="11" t="n">
        <x:v>64</x:v>
      </x:c>
      <x:c r="O131" s="11" t="str">
        <x:v>Tardía</x:v>
      </x:c>
      <x:c r="P131" s="20" t="n">
        <x:v>4</x:v>
      </x:c>
      <x:c r="Q131" s="18" t="n">
        <x:f>I131*J131</x:f>
        <x:v>64600</x:v>
      </x:c>
      <x:c r="R131" s="18" t="n">
        <x:f>Q131*K131</x:f>
        <x:v>3230</x:v>
      </x:c>
      <x:c r="S131" s="18" t="n">
        <x:f>Q131-R131</x:f>
        <x:v>61370</x:v>
      </x:c>
      <x:c r="T131" s="18" t="n">
        <x:f>I131*L131</x:f>
        <x:v>40400</x:v>
      </x:c>
      <x:c r="U131" s="18" t="n">
        <x:f>S131-T131</x:f>
        <x:v>20970</x:v>
      </x:c>
    </x:row>
    <x:row r="132">
      <x:c r="A132" s="11" t="str">
        <x:v>V-0350</x:v>
      </x:c>
      <x:c r="B132" s="14" t="n">
        <x:v>46083</x:v>
      </x:c>
      <x:c r="C132" s="11" t="str">
        <x:v>Neiva</x:v>
      </x:c>
      <x:c r="D132" s="11" t="str">
        <x:v>Web</x:v>
      </x:c>
      <x:c r="E132" s="11" t="str">
        <x:v>Cuidado personal</x:v>
      </x:c>
      <x:c r="F132" s="11" t="str">
        <x:v>Producto bienestar</x:v>
      </x:c>
      <x:c r="G132" s="11" t="str">
        <x:v>C-0064</x:v>
      </x:c>
      <x:c r="H132" s="11" t="str">
        <x:v>Nuevo</x:v>
      </x:c>
      <x:c r="I132" s="11" t="n">
        <x:v>3</x:v>
      </x:c>
      <x:c r="J132" s="18" t="n">
        <x:v>33500</x:v>
      </x:c>
      <x:c r="K132" s="16" t="n">
        <x:v>0.1</x:v>
      </x:c>
      <x:c r="L132" s="18" t="n">
        <x:v>20700</x:v>
      </x:c>
      <x:c r="M132" s="11" t="str">
        <x:v>Tarjeta</x:v>
      </x:c>
      <x:c r="N132" s="11" t="n">
        <x:v>41</x:v>
      </x:c>
      <x:c r="O132" s="11" t="str">
        <x:v>A tiempo</x:v>
      </x:c>
      <x:c r="P132" s="20" t="n">
        <x:v>3</x:v>
      </x:c>
      <x:c r="Q132" s="18" t="n">
        <x:f>I132*J132</x:f>
        <x:v>100500</x:v>
      </x:c>
      <x:c r="R132" s="18" t="n">
        <x:f>Q132*K132</x:f>
        <x:v>10050</x:v>
      </x:c>
      <x:c r="S132" s="18" t="n">
        <x:f>Q132-R132</x:f>
        <x:v>90450</x:v>
      </x:c>
      <x:c r="T132" s="18" t="n">
        <x:f>I132*L132</x:f>
        <x:v>62100</x:v>
      </x:c>
      <x:c r="U132" s="18" t="n">
        <x:f>S132-T132</x:f>
        <x:v>28350</x:v>
      </x:c>
    </x:row>
    <x:row r="133">
      <x:c r="A133" s="11" t="str">
        <x:v>V-0477</x:v>
      </x:c>
      <x:c r="B133" s="14" t="n">
        <x:v>46083</x:v>
      </x:c>
      <x:c r="C133" s="11" t="str">
        <x:v>Bogotá</x:v>
      </x:c>
      <x:c r="D133" s="11" t="str">
        <x:v>App</x:v>
      </x:c>
      <x:c r="E133" s="11" t="str">
        <x:v>Bebidas</x:v>
      </x:c>
      <x:c r="F133" s="11" t="str">
        <x:v>Bebida fría</x:v>
      </x:c>
      <x:c r="G133" s="11" t="str">
        <x:v>C-0072</x:v>
      </x:c>
      <x:c r="H133" s="11" t="str">
        <x:v>Recurrente</x:v>
      </x:c>
      <x:c r="I133" s="11" t="n">
        <x:v>3</x:v>
      </x:c>
      <x:c r="J133" s="18" t="n">
        <x:v>7300</x:v>
      </x:c>
      <x:c r="K133" s="16" t="n">
        <x:v>0.1</x:v>
      </x:c>
      <x:c r="L133" s="18" t="n">
        <x:v>3700</x:v>
      </x:c>
      <x:c r="M133" s="11" t="str">
        <x:v>Transferencia</x:v>
      </x:c>
      <x:c r="N133" s="11" t="n">
        <x:v>54</x:v>
      </x:c>
      <x:c r="O133" s="11" t="str">
        <x:v>A tiempo</x:v>
      </x:c>
      <x:c r="P133" s="20" t="n">
        <x:v>5</x:v>
      </x:c>
      <x:c r="Q133" s="18" t="n">
        <x:f>I133*J133</x:f>
        <x:v>21900</x:v>
      </x:c>
      <x:c r="R133" s="18" t="n">
        <x:f>Q133*K133</x:f>
        <x:v>2190</x:v>
      </x:c>
      <x:c r="S133" s="18" t="n">
        <x:f>Q133-R133</x:f>
        <x:v>19710</x:v>
      </x:c>
      <x:c r="T133" s="18" t="n">
        <x:f>I133*L133</x:f>
        <x:v>11100</x:v>
      </x:c>
      <x:c r="U133" s="18" t="n">
        <x:f>S133-T133</x:f>
        <x:v>8610</x:v>
      </x:c>
    </x:row>
    <x:row r="134">
      <x:c r="A134" s="11" t="str">
        <x:v>V-0478</x:v>
      </x:c>
      <x:c r="B134" s="14" t="n">
        <x:v>46083</x:v>
      </x:c>
      <x:c r="C134" s="11" t="str">
        <x:v>Neiva</x:v>
      </x:c>
      <x:c r="D134" s="11" t="str">
        <x:v>Web</x:v>
      </x:c>
      <x:c r="E134" s="11" t="str">
        <x:v>Cuidado personal</x:v>
      </x:c>
      <x:c r="F134" s="11" t="str">
        <x:v>Producto bienestar</x:v>
      </x:c>
      <x:c r="G134" s="11" t="str">
        <x:v>C-0068</x:v>
      </x:c>
      <x:c r="H134" s="11" t="str">
        <x:v>Recurrente</x:v>
      </x:c>
      <x:c r="I134" s="11" t="n">
        <x:v>1</x:v>
      </x:c>
      <x:c r="J134" s="18" t="n">
        <x:v>33900</x:v>
      </x:c>
      <x:c r="K134" s="16" t="n">
        <x:v>0.05</x:v>
      </x:c>
      <x:c r="L134" s="18" t="n">
        <x:v>20600</x:v>
      </x:c>
      <x:c r="M134" s="11" t="str">
        <x:v>Transferencia</x:v>
      </x:c>
      <x:c r="N134" s="11" t="n">
        <x:v>45</x:v>
      </x:c>
      <x:c r="O134" s="11" t="str">
        <x:v>A tiempo</x:v>
      </x:c>
      <x:c r="P134" s="20" t="n">
        <x:v>5</x:v>
      </x:c>
      <x:c r="Q134" s="18" t="n">
        <x:f>I134*J134</x:f>
        <x:v>33900</x:v>
      </x:c>
      <x:c r="R134" s="18" t="n">
        <x:f>Q134*K134</x:f>
        <x:v>1695</x:v>
      </x:c>
      <x:c r="S134" s="18" t="n">
        <x:f>Q134-R134</x:f>
        <x:v>32205</x:v>
      </x:c>
      <x:c r="T134" s="18" t="n">
        <x:f>I134*L134</x:f>
        <x:v>20600</x:v>
      </x:c>
      <x:c r="U134" s="18" t="n">
        <x:f>S134-T134</x:f>
        <x:v>11605</x:v>
      </x:c>
    </x:row>
    <x:row r="135">
      <x:c r="A135" s="11" t="str">
        <x:v>V-0309</x:v>
      </x:c>
      <x:c r="B135" s="14" t="n">
        <x:v>46084</x:v>
      </x:c>
      <x:c r="C135" s="11" t="str">
        <x:v>Cali</x:v>
      </x:c>
      <x:c r="D135" s="11" t="str">
        <x:v>Tienda</x:v>
      </x:c>
      <x:c r="E135" s="11" t="str">
        <x:v>Hogar</x:v>
      </x:c>
      <x:c r="F135" s="11" t="str">
        <x:v>Kit limpieza</x:v>
      </x:c>
      <x:c r="G135" s="11" t="str">
        <x:v>C-0047</x:v>
      </x:c>
      <x:c r="H135" s="11" t="str">
        <x:v>Recurrente</x:v>
      </x:c>
      <x:c r="I135" s="11" t="n">
        <x:v>1</x:v>
      </x:c>
      <x:c r="J135" s="18" t="n">
        <x:v>23000</x:v>
      </x:c>
      <x:c r="K135" s="16" t="n">
        <x:v>0</x:v>
      </x:c>
      <x:c r="L135" s="18" t="n">
        <x:v>13700</x:v>
      </x:c>
      <x:c r="M135" s="11" t="str">
        <x:v>Efectivo</x:v>
      </x:c>
      <x:c r="N135" s="11" t="n">
        <x:v>0</x:v>
      </x:c>
      <x:c r="O135" s="11" t="str">
        <x:v>No aplica</x:v>
      </x:c>
      <x:c r="P135" s="20" t="n">
        <x:v>5</x:v>
      </x:c>
      <x:c r="Q135" s="18" t="n">
        <x:f>I135*J135</x:f>
        <x:v>23000</x:v>
      </x:c>
      <x:c r="R135" s="18" t="n">
        <x:f>Q135*K135</x:f>
        <x:v>0</x:v>
      </x:c>
      <x:c r="S135" s="18" t="n">
        <x:f>Q135-R135</x:f>
        <x:v>23000</x:v>
      </x:c>
      <x:c r="T135" s="18" t="n">
        <x:f>I135*L135</x:f>
        <x:v>13700</x:v>
      </x:c>
      <x:c r="U135" s="18" t="n">
        <x:f>S135-T135</x:f>
        <x:v>9300</x:v>
      </x:c>
    </x:row>
    <x:row r="136">
      <x:c r="A136" s="11" t="str">
        <x:v>V-0230</x:v>
      </x:c>
      <x:c r="B136" s="14" t="n">
        <x:v>46085</x:v>
      </x:c>
      <x:c r="C136" s="11" t="str">
        <x:v>Bogotá</x:v>
      </x:c>
      <x:c r="D136" s="11" t="str">
        <x:v>App</x:v>
      </x:c>
      <x:c r="E136" s="11" t="str">
        <x:v>Bebidas</x:v>
      </x:c>
      <x:c r="F136" s="11" t="str">
        <x:v>Bebida fría</x:v>
      </x:c>
      <x:c r="G136" s="11" t="str">
        <x:v>C-0021</x:v>
      </x:c>
      <x:c r="H136" s="11" t="str">
        <x:v>Recurrente</x:v>
      </x:c>
      <x:c r="I136" s="11" t="n">
        <x:v>1</x:v>
      </x:c>
      <x:c r="J136" s="18" t="n">
        <x:v>7100</x:v>
      </x:c>
      <x:c r="K136" s="16" t="n">
        <x:v>0</x:v>
      </x:c>
      <x:c r="L136" s="18" t="n">
        <x:v>3700</x:v>
      </x:c>
      <x:c r="M136" s="11" t="str">
        <x:v>Tarjeta</x:v>
      </x:c>
      <x:c r="N136" s="11" t="n">
        <x:v>71</x:v>
      </x:c>
      <x:c r="O136" s="11" t="str">
        <x:v>Tardía</x:v>
      </x:c>
      <x:c r="P136" s="20" t="n">
        <x:v>4</x:v>
      </x:c>
      <x:c r="Q136" s="18" t="n">
        <x:f>I136*J136</x:f>
        <x:v>7100</x:v>
      </x:c>
      <x:c r="R136" s="18" t="n">
        <x:f>Q136*K136</x:f>
        <x:v>0</x:v>
      </x:c>
      <x:c r="S136" s="18" t="n">
        <x:f>Q136-R136</x:f>
        <x:v>7100</x:v>
      </x:c>
      <x:c r="T136" s="18" t="n">
        <x:f>I136*L136</x:f>
        <x:v>3700</x:v>
      </x:c>
      <x:c r="U136" s="18" t="n">
        <x:f>S136-T136</x:f>
        <x:v>3400</x:v>
      </x:c>
    </x:row>
    <x:row r="137">
      <x:c r="A137" s="11" t="str">
        <x:v>V-0011</x:v>
      </x:c>
      <x:c r="B137" s="14" t="n">
        <x:v>46086</x:v>
      </x:c>
      <x:c r="C137" s="11" t="str">
        <x:v>Bogotá</x:v>
      </x:c>
      <x:c r="D137" s="11" t="str">
        <x:v>Tienda</x:v>
      </x:c>
      <x:c r="E137" s="11" t="str">
        <x:v>Hogar</x:v>
      </x:c>
      <x:c r="F137" s="11" t="str">
        <x:v>Kit limpieza</x:v>
      </x:c>
      <x:c r="G137" s="11" t="str">
        <x:v>C-0029</x:v>
      </x:c>
      <x:c r="H137" s="11" t="str">
        <x:v>Nuevo</x:v>
      </x:c>
      <x:c r="I137" s="11" t="n">
        <x:v>5</x:v>
      </x:c>
      <x:c r="J137" s="18" t="n">
        <x:v>24000</x:v>
      </x:c>
      <x:c r="K137" s="16" t="n">
        <x:v>0.05</x:v>
      </x:c>
      <x:c r="L137" s="18" t="n">
        <x:v>14000</x:v>
      </x:c>
      <x:c r="M137" s="11" t="str">
        <x:v>Billetera digital</x:v>
      </x:c>
      <x:c r="N137" s="11" t="n">
        <x:v>0</x:v>
      </x:c>
      <x:c r="O137" s="11" t="str">
        <x:v>No aplica</x:v>
      </x:c>
      <x:c r="P137" s="20" t="n">
        <x:v>4</x:v>
      </x:c>
      <x:c r="Q137" s="18" t="n">
        <x:f>I137*J137</x:f>
        <x:v>120000</x:v>
      </x:c>
      <x:c r="R137" s="18" t="n">
        <x:f>Q137*K137</x:f>
        <x:v>6000</x:v>
      </x:c>
      <x:c r="S137" s="18" t="n">
        <x:f>Q137-R137</x:f>
        <x:v>114000</x:v>
      </x:c>
      <x:c r="T137" s="18" t="n">
        <x:f>I137*L137</x:f>
        <x:v>70000</x:v>
      </x:c>
      <x:c r="U137" s="18" t="n">
        <x:f>S137-T137</x:f>
        <x:v>44000</x:v>
      </x:c>
    </x:row>
    <x:row r="138">
      <x:c r="A138" s="11" t="str">
        <x:v>V-0479</x:v>
      </x:c>
      <x:c r="B138" s="14" t="n">
        <x:v>46087</x:v>
      </x:c>
      <x:c r="C138" s="11" t="str">
        <x:v>Bogotá</x:v>
      </x:c>
      <x:c r="D138" s="11" t="str">
        <x:v>Web</x:v>
      </x:c>
      <x:c r="E138" s="11" t="str">
        <x:v>Cuidado personal</x:v>
      </x:c>
      <x:c r="F138" s="11" t="str">
        <x:v>Kit cuidado</x:v>
      </x:c>
      <x:c r="G138" s="11" t="str">
        <x:v>C-0038</x:v>
      </x:c>
      <x:c r="H138" s="11" t="str">
        <x:v>Recurrente</x:v>
      </x:c>
      <x:c r="I138" s="11" t="n">
        <x:v>1</x:v>
      </x:c>
      <x:c r="J138" s="18" t="n">
        <x:v>45900</x:v>
      </x:c>
      <x:c r="K138" s="16" t="n">
        <x:v>0.05</x:v>
      </x:c>
      <x:c r="L138" s="18" t="n">
        <x:v>27100</x:v>
      </x:c>
      <x:c r="M138" s="11" t="str">
        <x:v>Billetera digital</x:v>
      </x:c>
      <x:c r="N138" s="11" t="n">
        <x:v>52</x:v>
      </x:c>
      <x:c r="O138" s="11" t="str">
        <x:v>A tiempo</x:v>
      </x:c>
      <x:c r="P138" s="20" t="n">
        <x:v>5</x:v>
      </x:c>
      <x:c r="Q138" s="18" t="n">
        <x:f>I138*J138</x:f>
        <x:v>45900</x:v>
      </x:c>
      <x:c r="R138" s="18" t="n">
        <x:f>Q138*K138</x:f>
        <x:v>2295</x:v>
      </x:c>
      <x:c r="S138" s="18" t="n">
        <x:f>Q138-R138</x:f>
        <x:v>43605</x:v>
      </x:c>
      <x:c r="T138" s="18" t="n">
        <x:f>I138*L138</x:f>
        <x:v>27100</x:v>
      </x:c>
      <x:c r="U138" s="18" t="n">
        <x:f>S138-T138</x:f>
        <x:v>16505</x:v>
      </x:c>
    </x:row>
    <x:row r="139">
      <x:c r="A139" s="11" t="str">
        <x:v>V-0354</x:v>
      </x:c>
      <x:c r="B139" s="14" t="n">
        <x:v>46088</x:v>
      </x:c>
      <x:c r="C139" s="11" t="str">
        <x:v>Bogotá</x:v>
      </x:c>
      <x:c r="D139" s="11" t="str">
        <x:v>Tienda</x:v>
      </x:c>
      <x:c r="E139" s="11" t="str">
        <x:v>Bebidas</x:v>
      </x:c>
      <x:c r="F139" s="11" t="str">
        <x:v>Bebida fría</x:v>
      </x:c>
      <x:c r="G139" s="11" t="str">
        <x:v>C-0045</x:v>
      </x:c>
      <x:c r="H139" s="11" t="str">
        <x:v>Recurrente</x:v>
      </x:c>
      <x:c r="I139" s="11" t="n">
        <x:v>5</x:v>
      </x:c>
      <x:c r="J139" s="18" t="n">
        <x:v>7000</x:v>
      </x:c>
      <x:c r="K139" s="16" t="n">
        <x:v>0</x:v>
      </x:c>
      <x:c r="L139" s="18" t="n">
        <x:v>3500</x:v>
      </x:c>
      <x:c r="M139" s="11" t="str">
        <x:v>Tarjeta</x:v>
      </x:c>
      <x:c r="N139" s="11" t="n">
        <x:v>0</x:v>
      </x:c>
      <x:c r="O139" s="11" t="str">
        <x:v>No aplica</x:v>
      </x:c>
      <x:c r="P139" s="20" t="n">
        <x:v>3</x:v>
      </x:c>
      <x:c r="Q139" s="18" t="n">
        <x:f>I139*J139</x:f>
        <x:v>35000</x:v>
      </x:c>
      <x:c r="R139" s="18" t="n">
        <x:f>Q139*K139</x:f>
        <x:v>0</x:v>
      </x:c>
      <x:c r="S139" s="18" t="n">
        <x:f>Q139-R139</x:f>
        <x:v>35000</x:v>
      </x:c>
      <x:c r="T139" s="18" t="n">
        <x:f>I139*L139</x:f>
        <x:v>17500</x:v>
      </x:c>
      <x:c r="U139" s="18" t="n">
        <x:f>S139-T139</x:f>
        <x:v>17500</x:v>
      </x:c>
    </x:row>
    <x:row r="140">
      <x:c r="A140" s="11" t="str">
        <x:v>V-0382</x:v>
      </x:c>
      <x:c r="B140" s="14" t="n">
        <x:v>46088</x:v>
      </x:c>
      <x:c r="C140" s="11" t="str">
        <x:v>Cali</x:v>
      </x:c>
      <x:c r="D140" s="11" t="str">
        <x:v>Web</x:v>
      </x:c>
      <x:c r="E140" s="11" t="str">
        <x:v>Alimentos</x:v>
      </x:c>
      <x:c r="F140" s="11" t="str">
        <x:v>Snack saludable</x:v>
      </x:c>
      <x:c r="G140" s="11" t="str">
        <x:v>C-0082</x:v>
      </x:c>
      <x:c r="H140" s="11" t="str">
        <x:v>Recurrente</x:v>
      </x:c>
      <x:c r="I140" s="11" t="n">
        <x:v>1</x:v>
      </x:c>
      <x:c r="J140" s="18" t="n">
        <x:v>8300</x:v>
      </x:c>
      <x:c r="K140" s="16" t="n">
        <x:v>0</x:v>
      </x:c>
      <x:c r="L140" s="18" t="n">
        <x:v>5000</x:v>
      </x:c>
      <x:c r="M140" s="11" t="str">
        <x:v>Billetera digital</x:v>
      </x:c>
      <x:c r="N140" s="11" t="n">
        <x:v>57</x:v>
      </x:c>
      <x:c r="O140" s="11" t="str">
        <x:v>A tiempo</x:v>
      </x:c>
      <x:c r="P140" s="20" t="n">
        <x:v>5</x:v>
      </x:c>
      <x:c r="Q140" s="18" t="n">
        <x:f>I140*J140</x:f>
        <x:v>8300</x:v>
      </x:c>
      <x:c r="R140" s="18" t="n">
        <x:f>Q140*K140</x:f>
        <x:v>0</x:v>
      </x:c>
      <x:c r="S140" s="18" t="n">
        <x:f>Q140-R140</x:f>
        <x:v>8300</x:v>
      </x:c>
      <x:c r="T140" s="18" t="n">
        <x:f>I140*L140</x:f>
        <x:v>5000</x:v>
      </x:c>
      <x:c r="U140" s="18" t="n">
        <x:f>S140-T140</x:f>
        <x:v>3300</x:v>
      </x:c>
    </x:row>
    <x:row r="141">
      <x:c r="A141" s="11" t="str">
        <x:v>V-0472</x:v>
      </x:c>
      <x:c r="B141" s="14" t="n">
        <x:v>46088</x:v>
      </x:c>
      <x:c r="C141" s="11" t="str">
        <x:v>Bogotá</x:v>
      </x:c>
      <x:c r="D141" s="11" t="str">
        <x:v>Web</x:v>
      </x:c>
      <x:c r="E141" s="11" t="str">
        <x:v>Cuidado personal</x:v>
      </x:c>
      <x:c r="F141" s="11" t="str">
        <x:v>Producto bienestar</x:v>
      </x:c>
      <x:c r="G141" s="11" t="str">
        <x:v>C-0014</x:v>
      </x:c>
      <x:c r="H141" s="11" t="str">
        <x:v>Recurrente</x:v>
      </x:c>
      <x:c r="I141" s="11" t="n">
        <x:v>2</x:v>
      </x:c>
      <x:c r="J141" s="18" t="n">
        <x:v>30800</x:v>
      </x:c>
      <x:c r="K141" s="16" t="n">
        <x:v>0.05</x:v>
      </x:c>
      <x:c r="L141" s="18" t="n">
        <x:v>18700</x:v>
      </x:c>
      <x:c r="M141" s="11" t="str">
        <x:v>Tarjeta</x:v>
      </x:c>
      <x:c r="N141" s="11" t="n">
        <x:v>41</x:v>
      </x:c>
      <x:c r="O141" s="11" t="str">
        <x:v>A tiempo</x:v>
      </x:c>
      <x:c r="P141" s="20" t="n">
        <x:v>3</x:v>
      </x:c>
      <x:c r="Q141" s="18" t="n">
        <x:f>I141*J141</x:f>
        <x:v>61600</x:v>
      </x:c>
      <x:c r="R141" s="18" t="n">
        <x:f>Q141*K141</x:f>
        <x:v>3080</x:v>
      </x:c>
      <x:c r="S141" s="18" t="n">
        <x:f>Q141-R141</x:f>
        <x:v>58520</x:v>
      </x:c>
      <x:c r="T141" s="18" t="n">
        <x:f>I141*L141</x:f>
        <x:v>37400</x:v>
      </x:c>
      <x:c r="U141" s="18" t="n">
        <x:f>S141-T141</x:f>
        <x:v>21120</x:v>
      </x:c>
    </x:row>
    <x:row r="142">
      <x:c r="A142" s="11" t="str">
        <x:v>V-0061</x:v>
      </x:c>
      <x:c r="B142" s="14" t="n">
        <x:v>46089</x:v>
      </x:c>
      <x:c r="C142" s="11" t="str">
        <x:v>Neiva</x:v>
      </x:c>
      <x:c r="D142" s="11" t="str">
        <x:v>Tienda</x:v>
      </x:c>
      <x:c r="E142" s="11" t="str">
        <x:v>Alimentos</x:v>
      </x:c>
      <x:c r="F142" s="11" t="str">
        <x:v>Producto gourmet</x:v>
      </x:c>
      <x:c r="G142" s="11" t="str">
        <x:v>C-0030</x:v>
      </x:c>
      <x:c r="H142" s="11" t="str">
        <x:v>Recurrente</x:v>
      </x:c>
      <x:c r="I142" s="11" t="n">
        <x:v>5</x:v>
      </x:c>
      <x:c r="J142" s="18" t="n">
        <x:v>32300</x:v>
      </x:c>
      <x:c r="K142" s="16" t="n">
        <x:v>0.1</x:v>
      </x:c>
      <x:c r="L142" s="18" t="n">
        <x:v>20300</x:v>
      </x:c>
      <x:c r="M142" s="11" t="str">
        <x:v>Billetera digital</x:v>
      </x:c>
      <x:c r="N142" s="11" t="n">
        <x:v>0</x:v>
      </x:c>
      <x:c r="O142" s="11" t="str">
        <x:v>No aplica</x:v>
      </x:c>
      <x:c r="P142" s="20" t="n">
        <x:v>3</x:v>
      </x:c>
      <x:c r="Q142" s="18" t="n">
        <x:f>I142*J142</x:f>
        <x:v>161500</x:v>
      </x:c>
      <x:c r="R142" s="18" t="n">
        <x:f>Q142*K142</x:f>
        <x:v>16150</x:v>
      </x:c>
      <x:c r="S142" s="18" t="n">
        <x:f>Q142-R142</x:f>
        <x:v>145350</x:v>
      </x:c>
      <x:c r="T142" s="18" t="n">
        <x:f>I142*L142</x:f>
        <x:v>101500</x:v>
      </x:c>
      <x:c r="U142" s="18" t="n">
        <x:f>S142-T142</x:f>
        <x:v>43850</x:v>
      </x:c>
    </x:row>
    <x:row r="143">
      <x:c r="A143" s="11" t="str">
        <x:v>V-0276</x:v>
      </x:c>
      <x:c r="B143" s="14" t="n">
        <x:v>46089</x:v>
      </x:c>
      <x:c r="C143" s="11" t="str">
        <x:v>Neiva</x:v>
      </x:c>
      <x:c r="D143" s="11" t="str">
        <x:v>Web</x:v>
      </x:c>
      <x:c r="E143" s="11" t="str">
        <x:v>Bebidas</x:v>
      </x:c>
      <x:c r="F143" s="11" t="str">
        <x:v>Bebida premium</x:v>
      </x:c>
      <x:c r="G143" s="11" t="str">
        <x:v>C-0051</x:v>
      </x:c>
      <x:c r="H143" s="11" t="str">
        <x:v>Recurrente</x:v>
      </x:c>
      <x:c r="I143" s="11" t="n">
        <x:v>1</x:v>
      </x:c>
      <x:c r="J143" s="18" t="n">
        <x:v>14000</x:v>
      </x:c>
      <x:c r="K143" s="16" t="n">
        <x:v>0.2</x:v>
      </x:c>
      <x:c r="L143" s="18" t="n">
        <x:v>7800</x:v>
      </x:c>
      <x:c r="M143" s="11" t="str">
        <x:v>Tarjeta</x:v>
      </x:c>
      <x:c r="N143" s="11" t="n">
        <x:v>45</x:v>
      </x:c>
      <x:c r="O143" s="11" t="str">
        <x:v>A tiempo</x:v>
      </x:c>
      <x:c r="P143" s="20" t="n">
        <x:v>5</x:v>
      </x:c>
      <x:c r="Q143" s="18" t="n">
        <x:f>I143*J143</x:f>
        <x:v>14000</x:v>
      </x:c>
      <x:c r="R143" s="18" t="n">
        <x:f>Q143*K143</x:f>
        <x:v>2800</x:v>
      </x:c>
      <x:c r="S143" s="18" t="n">
        <x:f>Q143-R143</x:f>
        <x:v>11200</x:v>
      </x:c>
      <x:c r="T143" s="18" t="n">
        <x:f>I143*L143</x:f>
        <x:v>7800</x:v>
      </x:c>
      <x:c r="U143" s="18" t="n">
        <x:f>S143-T143</x:f>
        <x:v>3400</x:v>
      </x:c>
    </x:row>
    <x:row r="144">
      <x:c r="A144" s="11" t="str">
        <x:v>V-0449</x:v>
      </x:c>
      <x:c r="B144" s="14" t="n">
        <x:v>46089</x:v>
      </x:c>
      <x:c r="C144" s="11" t="str">
        <x:v>Ibagué</x:v>
      </x:c>
      <x:c r="D144" s="11" t="str">
        <x:v>Tienda</x:v>
      </x:c>
      <x:c r="E144" s="11" t="str">
        <x:v>Cuidado personal</x:v>
      </x:c>
      <x:c r="F144" s="11" t="str">
        <x:v>Kit cuidado</x:v>
      </x:c>
      <x:c r="G144" s="11" t="str">
        <x:v>C-0082</x:v>
      </x:c>
      <x:c r="H144" s="11" t="str">
        <x:v>Recurrente</x:v>
      </x:c>
      <x:c r="I144" s="11" t="n">
        <x:v>3</x:v>
      </x:c>
      <x:c r="J144" s="18" t="n">
        <x:v>45000</x:v>
      </x:c>
      <x:c r="K144" s="16" t="n">
        <x:v>0.05</x:v>
      </x:c>
      <x:c r="L144" s="18" t="n">
        <x:v>29300</x:v>
      </x:c>
      <x:c r="M144" s="11" t="str">
        <x:v>Billetera digital</x:v>
      </x:c>
      <x:c r="N144" s="11" t="n">
        <x:v>0</x:v>
      </x:c>
      <x:c r="O144" s="11" t="str">
        <x:v>No aplica</x:v>
      </x:c>
      <x:c r="P144" s="20" t="n">
        <x:v>4</x:v>
      </x:c>
      <x:c r="Q144" s="18" t="n">
        <x:f>I144*J144</x:f>
        <x:v>135000</x:v>
      </x:c>
      <x:c r="R144" s="18" t="n">
        <x:f>Q144*K144</x:f>
        <x:v>6750</x:v>
      </x:c>
      <x:c r="S144" s="18" t="n">
        <x:f>Q144-R144</x:f>
        <x:v>128250</x:v>
      </x:c>
      <x:c r="T144" s="18" t="n">
        <x:f>I144*L144</x:f>
        <x:v>87900</x:v>
      </x:c>
      <x:c r="U144" s="18" t="n">
        <x:f>S144-T144</x:f>
        <x:v>40350</x:v>
      </x:c>
    </x:row>
    <x:row r="145">
      <x:c r="A145" s="11" t="str">
        <x:v>V-0463</x:v>
      </x:c>
      <x:c r="B145" s="14" t="n">
        <x:v>46090</x:v>
      </x:c>
      <x:c r="C145" s="11" t="str">
        <x:v>Ibagué</x:v>
      </x:c>
      <x:c r="D145" s="11" t="str">
        <x:v>App</x:v>
      </x:c>
      <x:c r="E145" s="11" t="str">
        <x:v>Cuidado personal</x:v>
      </x:c>
      <x:c r="F145" s="11" t="str">
        <x:v>Kit cuidado</x:v>
      </x:c>
      <x:c r="G145" s="11" t="str">
        <x:v>C-0076</x:v>
      </x:c>
      <x:c r="H145" s="11" t="str">
        <x:v>Recurrente</x:v>
      </x:c>
      <x:c r="I145" s="11" t="n">
        <x:v>6</x:v>
      </x:c>
      <x:c r="J145" s="18" t="n">
        <x:v>40000</x:v>
      </x:c>
      <x:c r="K145" s="16" t="n">
        <x:v>0</x:v>
      </x:c>
      <x:c r="L145" s="18" t="n">
        <x:v>23600</x:v>
      </x:c>
      <x:c r="M145" s="11" t="str">
        <x:v>Transferencia</x:v>
      </x:c>
      <x:c r="N145" s="11" t="n">
        <x:v>50</x:v>
      </x:c>
      <x:c r="O145" s="11" t="str">
        <x:v>A tiempo</x:v>
      </x:c>
      <x:c r="P145" s="20" t="n">
        <x:v>3</x:v>
      </x:c>
      <x:c r="Q145" s="18" t="n">
        <x:f>I145*J145</x:f>
        <x:v>240000</x:v>
      </x:c>
      <x:c r="R145" s="18" t="n">
        <x:f>Q145*K145</x:f>
        <x:v>0</x:v>
      </x:c>
      <x:c r="S145" s="18" t="n">
        <x:f>Q145-R145</x:f>
        <x:v>240000</x:v>
      </x:c>
      <x:c r="T145" s="18" t="n">
        <x:f>I145*L145</x:f>
        <x:v>141600</x:v>
      </x:c>
      <x:c r="U145" s="18" t="n">
        <x:f>S145-T145</x:f>
        <x:v>98400</x:v>
      </x:c>
    </x:row>
    <x:row r="146">
      <x:c r="A146" s="11" t="str">
        <x:v>V-0464</x:v>
      </x:c>
      <x:c r="B146" s="14" t="n">
        <x:v>46090</x:v>
      </x:c>
      <x:c r="C146" s="11" t="str">
        <x:v>Bogotá</x:v>
      </x:c>
      <x:c r="D146" s="11" t="str">
        <x:v>Tienda</x:v>
      </x:c>
      <x:c r="E146" s="11" t="str">
        <x:v>Hogar</x:v>
      </x:c>
      <x:c r="F146" s="11" t="str">
        <x:v>Accesorio hogar</x:v>
      </x:c>
      <x:c r="G146" s="11" t="str">
        <x:v>C-0032</x:v>
      </x:c>
      <x:c r="H146" s="11" t="str">
        <x:v>Recurrente</x:v>
      </x:c>
      <x:c r="I146" s="11" t="n">
        <x:v>4</x:v>
      </x:c>
      <x:c r="J146" s="18" t="n">
        <x:v>26700</x:v>
      </x:c>
      <x:c r="K146" s="16" t="n">
        <x:v>0.2</x:v>
      </x:c>
      <x:c r="L146" s="18" t="n">
        <x:v>16900</x:v>
      </x:c>
      <x:c r="M146" s="11" t="str">
        <x:v>Billetera digital</x:v>
      </x:c>
      <x:c r="N146" s="11" t="n">
        <x:v>0</x:v>
      </x:c>
      <x:c r="O146" s="11" t="str">
        <x:v>No aplica</x:v>
      </x:c>
      <x:c r="P146" s="20" t="n">
        <x:v>5</x:v>
      </x:c>
      <x:c r="Q146" s="18" t="n">
        <x:f>I146*J146</x:f>
        <x:v>106800</x:v>
      </x:c>
      <x:c r="R146" s="18" t="n">
        <x:f>Q146*K146</x:f>
        <x:v>21360</x:v>
      </x:c>
      <x:c r="S146" s="18" t="n">
        <x:f>Q146-R146</x:f>
        <x:v>85440</x:v>
      </x:c>
      <x:c r="T146" s="18" t="n">
        <x:f>I146*L146</x:f>
        <x:v>67600</x:v>
      </x:c>
      <x:c r="U146" s="18" t="n">
        <x:f>S146-T146</x:f>
        <x:v>17840</x:v>
      </x:c>
    </x:row>
    <x:row r="147">
      <x:c r="A147" s="11" t="str">
        <x:v>V-0039</x:v>
      </x:c>
      <x:c r="B147" s="14" t="n">
        <x:v>46091</x:v>
      </x:c>
      <x:c r="C147" s="11" t="str">
        <x:v>Cali</x:v>
      </x:c>
      <x:c r="D147" s="11" t="str">
        <x:v>Tienda</x:v>
      </x:c>
      <x:c r="E147" s="11" t="str">
        <x:v>Bebidas</x:v>
      </x:c>
      <x:c r="F147" s="11" t="str">
        <x:v>Bebida caliente</x:v>
      </x:c>
      <x:c r="G147" s="11" t="str">
        <x:v>C-0025</x:v>
      </x:c>
      <x:c r="H147" s="11" t="str">
        <x:v>Nuevo</x:v>
      </x:c>
      <x:c r="I147" s="11" t="n">
        <x:v>2</x:v>
      </x:c>
      <x:c r="J147" s="18" t="n">
        <x:v>7000</x:v>
      </x:c>
      <x:c r="K147" s="16" t="n">
        <x:v>0</x:v>
      </x:c>
      <x:c r="L147" s="18" t="n">
        <x:v>3200</x:v>
      </x:c>
      <x:c r="M147" s="11" t="str">
        <x:v>Efectivo</x:v>
      </x:c>
      <x:c r="N147" s="11" t="n">
        <x:v>0</x:v>
      </x:c>
      <x:c r="O147" s="11" t="str">
        <x:v>No aplica</x:v>
      </x:c>
      <x:c r="P147" s="20" t="n">
        <x:v>4</x:v>
      </x:c>
      <x:c r="Q147" s="18" t="n">
        <x:f>I147*J147</x:f>
        <x:v>14000</x:v>
      </x:c>
      <x:c r="R147" s="18" t="n">
        <x:f>Q147*K147</x:f>
        <x:v>0</x:v>
      </x:c>
      <x:c r="S147" s="18" t="n">
        <x:f>Q147-R147</x:f>
        <x:v>14000</x:v>
      </x:c>
      <x:c r="T147" s="18" t="n">
        <x:f>I147*L147</x:f>
        <x:v>6400</x:v>
      </x:c>
      <x:c r="U147" s="18" t="n">
        <x:f>S147-T147</x:f>
        <x:v>7600</x:v>
      </x:c>
    </x:row>
    <x:row r="148">
      <x:c r="A148" s="11" t="str">
        <x:v>V-0041</x:v>
      </x:c>
      <x:c r="B148" s="14" t="n">
        <x:v>46091</x:v>
      </x:c>
      <x:c r="C148" s="11" t="str">
        <x:v>Cali</x:v>
      </x:c>
      <x:c r="D148" s="11" t="str">
        <x:v>Web</x:v>
      </x:c>
      <x:c r="E148" s="11" t="str">
        <x:v>Cuidado personal</x:v>
      </x:c>
      <x:c r="F148" s="11" t="str">
        <x:v>Accesorio personal</x:v>
      </x:c>
      <x:c r="G148" s="11" t="str">
        <x:v>C-0067</x:v>
      </x:c>
      <x:c r="H148" s="11" t="str">
        <x:v>Nuevo</x:v>
      </x:c>
      <x:c r="I148" s="11" t="n">
        <x:v>2</x:v>
      </x:c>
      <x:c r="J148" s="18" t="n">
        <x:v>18100</x:v>
      </x:c>
      <x:c r="K148" s="16" t="n">
        <x:v>0</x:v>
      </x:c>
      <x:c r="L148" s="18" t="n">
        <x:v>10600</x:v>
      </x:c>
      <x:c r="M148" s="11" t="str">
        <x:v>Billetera digital</x:v>
      </x:c>
      <x:c r="N148" s="11" t="n">
        <x:v>67</x:v>
      </x:c>
      <x:c r="O148" s="11" t="str">
        <x:v>Tardía</x:v>
      </x:c>
      <x:c r="P148" s="20" t="n">
        <x:v>3</x:v>
      </x:c>
      <x:c r="Q148" s="18" t="n">
        <x:f>I148*J148</x:f>
        <x:v>36200</x:v>
      </x:c>
      <x:c r="R148" s="18" t="n">
        <x:f>Q148*K148</x:f>
        <x:v>0</x:v>
      </x:c>
      <x:c r="S148" s="18" t="n">
        <x:f>Q148-R148</x:f>
        <x:v>36200</x:v>
      </x:c>
      <x:c r="T148" s="18" t="n">
        <x:f>I148*L148</x:f>
        <x:v>21200</x:v>
      </x:c>
      <x:c r="U148" s="18" t="n">
        <x:f>S148-T148</x:f>
        <x:v>15000</x:v>
      </x:c>
    </x:row>
    <x:row r="149">
      <x:c r="A149" s="11" t="str">
        <x:v>V-0224</x:v>
      </x:c>
      <x:c r="B149" s="14" t="n">
        <x:v>46091</x:v>
      </x:c>
      <x:c r="C149" s="11" t="str">
        <x:v>Neiva</x:v>
      </x:c>
      <x:c r="D149" s="11" t="str">
        <x:v>Tienda</x:v>
      </x:c>
      <x:c r="E149" s="11" t="str">
        <x:v>Bebidas</x:v>
      </x:c>
      <x:c r="F149" s="11" t="str">
        <x:v>Bebida premium</x:v>
      </x:c>
      <x:c r="G149" s="11" t="str">
        <x:v>C-0087</x:v>
      </x:c>
      <x:c r="H149" s="11" t="str">
        <x:v>Recurrente</x:v>
      </x:c>
      <x:c r="I149" s="11" t="n">
        <x:v>2</x:v>
      </x:c>
      <x:c r="J149" s="18" t="n">
        <x:v>14200</x:v>
      </x:c>
      <x:c r="K149" s="16" t="n">
        <x:v>0.1</x:v>
      </x:c>
      <x:c r="L149" s="18" t="n">
        <x:v>7800</x:v>
      </x:c>
      <x:c r="M149" s="11" t="str">
        <x:v>Efectivo</x:v>
      </x:c>
      <x:c r="N149" s="11" t="n">
        <x:v>0</x:v>
      </x:c>
      <x:c r="O149" s="11" t="str">
        <x:v>No aplica</x:v>
      </x:c>
      <x:c r="P149" s="20" t="n">
        <x:v>4</x:v>
      </x:c>
      <x:c r="Q149" s="18" t="n">
        <x:f>I149*J149</x:f>
        <x:v>28400</x:v>
      </x:c>
      <x:c r="R149" s="18" t="n">
        <x:f>Q149*K149</x:f>
        <x:v>2840</x:v>
      </x:c>
      <x:c r="S149" s="18" t="n">
        <x:f>Q149-R149</x:f>
        <x:v>25560</x:v>
      </x:c>
      <x:c r="T149" s="18" t="n">
        <x:f>I149*L149</x:f>
        <x:v>15600</x:v>
      </x:c>
      <x:c r="U149" s="18" t="n">
        <x:f>S149-T149</x:f>
        <x:v>9960</x:v>
      </x:c>
    </x:row>
    <x:row r="150">
      <x:c r="A150" s="11" t="str">
        <x:v>V-0232</x:v>
      </x:c>
      <x:c r="B150" s="14" t="n">
        <x:v>46091</x:v>
      </x:c>
      <x:c r="C150" s="11" t="str">
        <x:v>Cali</x:v>
      </x:c>
      <x:c r="D150" s="11" t="str">
        <x:v>Tienda</x:v>
      </x:c>
      <x:c r="E150" s="11" t="str">
        <x:v>Cuidado personal</x:v>
      </x:c>
      <x:c r="F150" s="11" t="str">
        <x:v>Producto bienestar</x:v>
      </x:c>
      <x:c r="G150" s="11" t="str">
        <x:v>C-0005</x:v>
      </x:c>
      <x:c r="H150" s="11" t="str">
        <x:v>Nuevo</x:v>
      </x:c>
      <x:c r="I150" s="11" t="n">
        <x:v>5</x:v>
      </x:c>
      <x:c r="J150" s="18" t="n">
        <x:v>36600</x:v>
      </x:c>
      <x:c r="K150" s="16" t="n">
        <x:v>0.05</x:v>
      </x:c>
      <x:c r="L150" s="18" t="n">
        <x:v>22900</x:v>
      </x:c>
      <x:c r="M150" s="11" t="str">
        <x:v>Billetera digital</x:v>
      </x:c>
      <x:c r="N150" s="11" t="n">
        <x:v>0</x:v>
      </x:c>
      <x:c r="O150" s="11" t="str">
        <x:v>No aplica</x:v>
      </x:c>
      <x:c r="P150" s="20" t="n">
        <x:v>4</x:v>
      </x:c>
      <x:c r="Q150" s="18" t="n">
        <x:f>I150*J150</x:f>
        <x:v>183000</x:v>
      </x:c>
      <x:c r="R150" s="18" t="n">
        <x:f>Q150*K150</x:f>
        <x:v>9150</x:v>
      </x:c>
      <x:c r="S150" s="18" t="n">
        <x:f>Q150-R150</x:f>
        <x:v>173850</x:v>
      </x:c>
      <x:c r="T150" s="18" t="n">
        <x:f>I150*L150</x:f>
        <x:v>114500</x:v>
      </x:c>
      <x:c r="U150" s="18" t="n">
        <x:f>S150-T150</x:f>
        <x:v>59350</x:v>
      </x:c>
    </x:row>
    <x:row r="151">
      <x:c r="A151" s="11" t="str">
        <x:v>V-0260</x:v>
      </x:c>
      <x:c r="B151" s="14" t="n">
        <x:v>46091</x:v>
      </x:c>
      <x:c r="C151" s="11" t="str">
        <x:v>Medellín</x:v>
      </x:c>
      <x:c r="D151" s="11" t="str">
        <x:v>App</x:v>
      </x:c>
      <x:c r="E151" s="11" t="str">
        <x:v>Bebidas</x:v>
      </x:c>
      <x:c r="F151" s="11" t="str">
        <x:v>Bebida caliente</x:v>
      </x:c>
      <x:c r="G151" s="11" t="str">
        <x:v>C-0019</x:v>
      </x:c>
      <x:c r="H151" s="11" t="str">
        <x:v>Recurrente</x:v>
      </x:c>
      <x:c r="I151" s="11" t="n">
        <x:v>3</x:v>
      </x:c>
      <x:c r="J151" s="18" t="n">
        <x:v>6300</x:v>
      </x:c>
      <x:c r="K151" s="16" t="n">
        <x:v>0.15</x:v>
      </x:c>
      <x:c r="L151" s="18" t="n">
        <x:v>3000</x:v>
      </x:c>
      <x:c r="M151" s="11" t="str">
        <x:v>Transferencia</x:v>
      </x:c>
      <x:c r="N151" s="11" t="n">
        <x:v>64</x:v>
      </x:c>
      <x:c r="O151" s="11" t="str">
        <x:v>Tardía</x:v>
      </x:c>
      <x:c r="P151" s="20" t="n">
        <x:v>3</x:v>
      </x:c>
      <x:c r="Q151" s="18" t="n">
        <x:f>I151*J151</x:f>
        <x:v>18900</x:v>
      </x:c>
      <x:c r="R151" s="18" t="n">
        <x:f>Q151*K151</x:f>
        <x:v>2835</x:v>
      </x:c>
      <x:c r="S151" s="18" t="n">
        <x:f>Q151-R151</x:f>
        <x:v>16065</x:v>
      </x:c>
      <x:c r="T151" s="18" t="n">
        <x:f>I151*L151</x:f>
        <x:v>9000</x:v>
      </x:c>
      <x:c r="U151" s="18" t="n">
        <x:f>S151-T151</x:f>
        <x:v>7065</x:v>
      </x:c>
    </x:row>
    <x:row r="152">
      <x:c r="A152" s="11" t="str">
        <x:v>V-0143</x:v>
      </x:c>
      <x:c r="B152" s="14" t="n">
        <x:v>46092</x:v>
      </x:c>
      <x:c r="C152" s="11" t="str">
        <x:v>Bogotá</x:v>
      </x:c>
      <x:c r="D152" s="11" t="str">
        <x:v>App</x:v>
      </x:c>
      <x:c r="E152" s="11" t="str">
        <x:v>Alimentos</x:v>
      </x:c>
      <x:c r="F152" s="11" t="str">
        <x:v>Combo almuerzo</x:v>
      </x:c>
      <x:c r="G152" s="11" t="str">
        <x:v>C-0049</x:v>
      </x:c>
      <x:c r="H152" s="11" t="str">
        <x:v>Recurrente</x:v>
      </x:c>
      <x:c r="I152" s="11" t="n">
        <x:v>5</x:v>
      </x:c>
      <x:c r="J152" s="18" t="n">
        <x:v>23700</x:v>
      </x:c>
      <x:c r="K152" s="16" t="n">
        <x:v>0</x:v>
      </x:c>
      <x:c r="L152" s="18" t="n">
        <x:v>14500</x:v>
      </x:c>
      <x:c r="M152" s="11" t="str">
        <x:v>Tarjeta</x:v>
      </x:c>
      <x:c r="N152" s="11" t="n">
        <x:v>41</x:v>
      </x:c>
      <x:c r="O152" s="11" t="str">
        <x:v>A tiempo</x:v>
      </x:c>
      <x:c r="P152" s="20" t="n">
        <x:v>5</x:v>
      </x:c>
      <x:c r="Q152" s="18" t="n">
        <x:f>I152*J152</x:f>
        <x:v>118500</x:v>
      </x:c>
      <x:c r="R152" s="18" t="n">
        <x:f>Q152*K152</x:f>
        <x:v>0</x:v>
      </x:c>
      <x:c r="S152" s="18" t="n">
        <x:f>Q152-R152</x:f>
        <x:v>118500</x:v>
      </x:c>
      <x:c r="T152" s="18" t="n">
        <x:f>I152*L152</x:f>
        <x:v>72500</x:v>
      </x:c>
      <x:c r="U152" s="18" t="n">
        <x:f>S152-T152</x:f>
        <x:v>46000</x:v>
      </x:c>
    </x:row>
    <x:row r="153">
      <x:c r="A153" s="11" t="str">
        <x:v>V-0156</x:v>
      </x:c>
      <x:c r="B153" s="14" t="n">
        <x:v>46092</x:v>
      </x:c>
      <x:c r="C153" s="11" t="str">
        <x:v>Bogotá</x:v>
      </x:c>
      <x:c r="D153" s="11" t="str">
        <x:v>App</x:v>
      </x:c>
      <x:c r="E153" s="11" t="str">
        <x:v>Cuidado personal</x:v>
      </x:c>
      <x:c r="F153" s="11" t="str">
        <x:v>Accesorio personal</x:v>
      </x:c>
      <x:c r="G153" s="11" t="str">
        <x:v>C-0038</x:v>
      </x:c>
      <x:c r="H153" s="11" t="str">
        <x:v>Recurrente</x:v>
      </x:c>
      <x:c r="I153" s="11" t="n">
        <x:v>6</x:v>
      </x:c>
      <x:c r="J153" s="18" t="n">
        <x:v>16200</x:v>
      </x:c>
      <x:c r="K153" s="16" t="n">
        <x:v>0</x:v>
      </x:c>
      <x:c r="L153" s="18" t="n">
        <x:v>9500</x:v>
      </x:c>
      <x:c r="M153" s="11" t="str">
        <x:v>Tarjeta</x:v>
      </x:c>
      <x:c r="N153" s="11" t="n">
        <x:v>60</x:v>
      </x:c>
      <x:c r="O153" s="11" t="str">
        <x:v>A tiempo</x:v>
      </x:c>
      <x:c r="P153" s="20" t="n">
        <x:v>2</x:v>
      </x:c>
      <x:c r="Q153" s="18" t="n">
        <x:f>I153*J153</x:f>
        <x:v>97200</x:v>
      </x:c>
      <x:c r="R153" s="18" t="n">
        <x:f>Q153*K153</x:f>
        <x:v>0</x:v>
      </x:c>
      <x:c r="S153" s="18" t="n">
        <x:f>Q153-R153</x:f>
        <x:v>97200</x:v>
      </x:c>
      <x:c r="T153" s="18" t="n">
        <x:f>I153*L153</x:f>
        <x:v>57000</x:v>
      </x:c>
      <x:c r="U153" s="18" t="n">
        <x:f>S153-T153</x:f>
        <x:v>40200</x:v>
      </x:c>
    </x:row>
    <x:row r="154">
      <x:c r="A154" s="11" t="str">
        <x:v>V-0169</x:v>
      </x:c>
      <x:c r="B154" s="14" t="n">
        <x:v>46092</x:v>
      </x:c>
      <x:c r="C154" s="11" t="str">
        <x:v>Florencia</x:v>
      </x:c>
      <x:c r="D154" s="11" t="str">
        <x:v>Tienda</x:v>
      </x:c>
      <x:c r="E154" s="11" t="str">
        <x:v>Cuidado personal</x:v>
      </x:c>
      <x:c r="F154" s="11" t="str">
        <x:v>Accesorio personal</x:v>
      </x:c>
      <x:c r="G154" s="11" t="str">
        <x:v>C-0088</x:v>
      </x:c>
      <x:c r="H154" s="11" t="str">
        <x:v>Recurrente</x:v>
      </x:c>
      <x:c r="I154" s="11" t="n">
        <x:v>3</x:v>
      </x:c>
      <x:c r="J154" s="18" t="n">
        <x:v>16700</x:v>
      </x:c>
      <x:c r="K154" s="16" t="n">
        <x:v>0.05</x:v>
      </x:c>
      <x:c r="L154" s="18" t="n">
        <x:v>9200</x:v>
      </x:c>
      <x:c r="M154" s="11" t="str">
        <x:v>Tarjeta</x:v>
      </x:c>
      <x:c r="N154" s="11" t="n">
        <x:v>0</x:v>
      </x:c>
      <x:c r="O154" s="11" t="str">
        <x:v>No aplica</x:v>
      </x:c>
      <x:c r="P154" s="20" t="n">
        <x:v>5</x:v>
      </x:c>
      <x:c r="Q154" s="18" t="n">
        <x:f>I154*J154</x:f>
        <x:v>50100</x:v>
      </x:c>
      <x:c r="R154" s="18" t="n">
        <x:f>Q154*K154</x:f>
        <x:v>2505</x:v>
      </x:c>
      <x:c r="S154" s="18" t="n">
        <x:f>Q154-R154</x:f>
        <x:v>47595</x:v>
      </x:c>
      <x:c r="T154" s="18" t="n">
        <x:f>I154*L154</x:f>
        <x:v>27600</x:v>
      </x:c>
      <x:c r="U154" s="18" t="n">
        <x:f>S154-T154</x:f>
        <x:v>19995</x:v>
      </x:c>
    </x:row>
    <x:row r="155">
      <x:c r="A155" s="11" t="str">
        <x:v>V-0217</x:v>
      </x:c>
      <x:c r="B155" s="14" t="n">
        <x:v>46092</x:v>
      </x:c>
      <x:c r="C155" s="11" t="str">
        <x:v>Medellín</x:v>
      </x:c>
      <x:c r="D155" s="11" t="str">
        <x:v>Tienda</x:v>
      </x:c>
      <x:c r="E155" s="11" t="str">
        <x:v>Alimentos</x:v>
      </x:c>
      <x:c r="F155" s="11" t="str">
        <x:v>Combo almuerzo</x:v>
      </x:c>
      <x:c r="G155" s="11" t="str">
        <x:v>C-0084</x:v>
      </x:c>
      <x:c r="H155" s="11" t="str">
        <x:v>Recurrente</x:v>
      </x:c>
      <x:c r="I155" s="11" t="n">
        <x:v>2</x:v>
      </x:c>
      <x:c r="J155" s="18" t="n">
        <x:v>21300</x:v>
      </x:c>
      <x:c r="K155" s="16" t="n">
        <x:v>0.05</x:v>
      </x:c>
      <x:c r="L155" s="18" t="n">
        <x:v>13300</x:v>
      </x:c>
      <x:c r="M155" s="11" t="str">
        <x:v>Tarjeta</x:v>
      </x:c>
      <x:c r="N155" s="11" t="n">
        <x:v>0</x:v>
      </x:c>
      <x:c r="O155" s="11" t="str">
        <x:v>No aplica</x:v>
      </x:c>
      <x:c r="P155" s="20" t="n">
        <x:v>4</x:v>
      </x:c>
      <x:c r="Q155" s="18" t="n">
        <x:f>I155*J155</x:f>
        <x:v>42600</x:v>
      </x:c>
      <x:c r="R155" s="18" t="n">
        <x:f>Q155*K155</x:f>
        <x:v>2130</x:v>
      </x:c>
      <x:c r="S155" s="18" t="n">
        <x:f>Q155-R155</x:f>
        <x:v>40470</x:v>
      </x:c>
      <x:c r="T155" s="18" t="n">
        <x:f>I155*L155</x:f>
        <x:v>26600</x:v>
      </x:c>
      <x:c r="U155" s="18" t="n">
        <x:f>S155-T155</x:f>
        <x:v>13870</x:v>
      </x:c>
    </x:row>
    <x:row r="156">
      <x:c r="A156" s="11" t="str">
        <x:v>V-0282</x:v>
      </x:c>
      <x:c r="B156" s="14" t="n">
        <x:v>46092</x:v>
      </x:c>
      <x:c r="C156" s="11" t="str">
        <x:v>Medellín</x:v>
      </x:c>
      <x:c r="D156" s="11" t="str">
        <x:v>Tienda</x:v>
      </x:c>
      <x:c r="E156" s="11" t="str">
        <x:v>Bebidas</x:v>
      </x:c>
      <x:c r="F156" s="11" t="str">
        <x:v>Bebida fría</x:v>
      </x:c>
      <x:c r="G156" s="11" t="str">
        <x:v>C-0080</x:v>
      </x:c>
      <x:c r="H156" s="11" t="str">
        <x:v>Nuevo</x:v>
      </x:c>
      <x:c r="I156" s="11" t="n">
        <x:v>3</x:v>
      </x:c>
      <x:c r="J156" s="18" t="n">
        <x:v>6400</x:v>
      </x:c>
      <x:c r="K156" s="16" t="n">
        <x:v>0.1</x:v>
      </x:c>
      <x:c r="L156" s="18" t="n">
        <x:v>3300</x:v>
      </x:c>
      <x:c r="M156" s="11" t="str">
        <x:v>Efectivo</x:v>
      </x:c>
      <x:c r="N156" s="11" t="n">
        <x:v>0</x:v>
      </x:c>
      <x:c r="O156" s="11" t="str">
        <x:v>No aplica</x:v>
      </x:c>
      <x:c r="P156" s="20" t="n">
        <x:v>5</x:v>
      </x:c>
      <x:c r="Q156" s="18" t="n">
        <x:f>I156*J156</x:f>
        <x:v>19200</x:v>
      </x:c>
      <x:c r="R156" s="18" t="n">
        <x:f>Q156*K156</x:f>
        <x:v>1920</x:v>
      </x:c>
      <x:c r="S156" s="18" t="n">
        <x:f>Q156-R156</x:f>
        <x:v>17280</x:v>
      </x:c>
      <x:c r="T156" s="18" t="n">
        <x:f>I156*L156</x:f>
        <x:v>9900</x:v>
      </x:c>
      <x:c r="U156" s="18" t="n">
        <x:f>S156-T156</x:f>
        <x:v>7380</x:v>
      </x:c>
    </x:row>
    <x:row r="157">
      <x:c r="A157" s="11" t="str">
        <x:v>V-0313</x:v>
      </x:c>
      <x:c r="B157" s="14" t="n">
        <x:v>46092</x:v>
      </x:c>
      <x:c r="C157" s="11" t="str">
        <x:v>Bogotá</x:v>
      </x:c>
      <x:c r="D157" s="11" t="str">
        <x:v>App</x:v>
      </x:c>
      <x:c r="E157" s="11" t="str">
        <x:v>Bebidas</x:v>
      </x:c>
      <x:c r="F157" s="11" t="str">
        <x:v>Bebida caliente</x:v>
      </x:c>
      <x:c r="G157" s="11" t="str">
        <x:v>C-0102</x:v>
      </x:c>
      <x:c r="H157" s="11" t="str">
        <x:v>Recurrente</x:v>
      </x:c>
      <x:c r="I157" s="11" t="n">
        <x:v>2</x:v>
      </x:c>
      <x:c r="J157" s="18" t="n">
        <x:v>6400</x:v>
      </x:c>
      <x:c r="K157" s="16" t="n">
        <x:v>0</x:v>
      </x:c>
      <x:c r="L157" s="18" t="n">
        <x:v>3100</x:v>
      </x:c>
      <x:c r="M157" s="11" t="str">
        <x:v>Tarjeta</x:v>
      </x:c>
      <x:c r="N157" s="11" t="n">
        <x:v>57</x:v>
      </x:c>
      <x:c r="O157" s="11" t="str">
        <x:v>A tiempo</x:v>
      </x:c>
      <x:c r="P157" s="20" t="n">
        <x:v>3</x:v>
      </x:c>
      <x:c r="Q157" s="18" t="n">
        <x:f>I157*J157</x:f>
        <x:v>12800</x:v>
      </x:c>
      <x:c r="R157" s="18" t="n">
        <x:f>Q157*K157</x:f>
        <x:v>0</x:v>
      </x:c>
      <x:c r="S157" s="18" t="n">
        <x:f>Q157-R157</x:f>
        <x:v>12800</x:v>
      </x:c>
      <x:c r="T157" s="18" t="n">
        <x:f>I157*L157</x:f>
        <x:v>6200</x:v>
      </x:c>
      <x:c r="U157" s="18" t="n">
        <x:f>S157-T157</x:f>
        <x:v>6600</x:v>
      </x:c>
    </x:row>
    <x:row r="158">
      <x:c r="A158" s="11" t="str">
        <x:v>V-0005</x:v>
      </x:c>
      <x:c r="B158" s="14" t="n">
        <x:v>46093</x:v>
      </x:c>
      <x:c r="C158" s="11" t="str">
        <x:v>Florencia</x:v>
      </x:c>
      <x:c r="D158" s="11" t="str">
        <x:v>Tienda</x:v>
      </x:c>
      <x:c r="E158" s="11" t="str">
        <x:v>Bebidas</x:v>
      </x:c>
      <x:c r="F158" s="11" t="str">
        <x:v>Bebida premium</x:v>
      </x:c>
      <x:c r="G158" s="11" t="str">
        <x:v>C-0063</x:v>
      </x:c>
      <x:c r="H158" s="11" t="str">
        <x:v>Nuevo</x:v>
      </x:c>
      <x:c r="I158" s="11" t="n">
        <x:v>2</x:v>
      </x:c>
      <x:c r="J158" s="18" t="n">
        <x:v>14500</x:v>
      </x:c>
      <x:c r="K158" s="16" t="n">
        <x:v>0.05</x:v>
      </x:c>
      <x:c r="L158" s="18" t="n">
        <x:v>8600</x:v>
      </x:c>
      <x:c r="M158" s="11" t="str">
        <x:v>Tarjeta</x:v>
      </x:c>
      <x:c r="N158" s="11" t="n">
        <x:v>0</x:v>
      </x:c>
      <x:c r="O158" s="11" t="str">
        <x:v>No aplica</x:v>
      </x:c>
      <x:c r="P158" s="20" t="n">
        <x:v>5</x:v>
      </x:c>
      <x:c r="Q158" s="18" t="n">
        <x:f>I158*J158</x:f>
        <x:v>29000</x:v>
      </x:c>
      <x:c r="R158" s="18" t="n">
        <x:f>Q158*K158</x:f>
        <x:v>1450</x:v>
      </x:c>
      <x:c r="S158" s="18" t="n">
        <x:f>Q158-R158</x:f>
        <x:v>27550</x:v>
      </x:c>
      <x:c r="T158" s="18" t="n">
        <x:f>I158*L158</x:f>
        <x:v>17200</x:v>
      </x:c>
      <x:c r="U158" s="18" t="n">
        <x:f>S158-T158</x:f>
        <x:v>10350</x:v>
      </x:c>
    </x:row>
    <x:row r="159">
      <x:c r="A159" s="11" t="str">
        <x:v>V-0321</x:v>
      </x:c>
      <x:c r="B159" s="14" t="n">
        <x:v>46093</x:v>
      </x:c>
      <x:c r="C159" s="11" t="str">
        <x:v>Cali</x:v>
      </x:c>
      <x:c r="D159" s="11" t="str">
        <x:v>Web</x:v>
      </x:c>
      <x:c r="E159" s="11" t="str">
        <x:v>Cuidado personal</x:v>
      </x:c>
      <x:c r="F159" s="11" t="str">
        <x:v>Producto bienestar</x:v>
      </x:c>
      <x:c r="G159" s="11" t="str">
        <x:v>C-0094</x:v>
      </x:c>
      <x:c r="H159" s="11" t="str">
        <x:v>Recurrente</x:v>
      </x:c>
      <x:c r="I159" s="11" t="n">
        <x:v>1</x:v>
      </x:c>
      <x:c r="J159" s="18" t="n">
        <x:v>32900</x:v>
      </x:c>
      <x:c r="K159" s="16" t="n">
        <x:v>0.1</x:v>
      </x:c>
      <x:c r="L159" s="18" t="n">
        <x:v>19200</x:v>
      </x:c>
      <x:c r="M159" s="11" t="str">
        <x:v>Billetera digital</x:v>
      </x:c>
      <x:c r="N159" s="11" t="n">
        <x:v>48</x:v>
      </x:c>
      <x:c r="O159" s="11" t="str">
        <x:v>A tiempo</x:v>
      </x:c>
      <x:c r="P159" s="20" t="n">
        <x:v>3</x:v>
      </x:c>
      <x:c r="Q159" s="18" t="n">
        <x:f>I159*J159</x:f>
        <x:v>32900</x:v>
      </x:c>
      <x:c r="R159" s="18" t="n">
        <x:f>Q159*K159</x:f>
        <x:v>3290</x:v>
      </x:c>
      <x:c r="S159" s="18" t="n">
        <x:f>Q159-R159</x:f>
        <x:v>29610</x:v>
      </x:c>
      <x:c r="T159" s="18" t="n">
        <x:f>I159*L159</x:f>
        <x:v>19200</x:v>
      </x:c>
      <x:c r="U159" s="18" t="n">
        <x:f>S159-T159</x:f>
        <x:v>10410</x:v>
      </x:c>
    </x:row>
    <x:row r="160">
      <x:c r="A160" s="11" t="str">
        <x:v>V-0246</x:v>
      </x:c>
      <x:c r="B160" s="14" t="n">
        <x:v>46094</x:v>
      </x:c>
      <x:c r="C160" s="11" t="str">
        <x:v>Medellín</x:v>
      </x:c>
      <x:c r="D160" s="11" t="str">
        <x:v>App</x:v>
      </x:c>
      <x:c r="E160" s="11" t="str">
        <x:v>Hogar</x:v>
      </x:c>
      <x:c r="F160" s="11" t="str">
        <x:v>Accesorio hogar</x:v>
      </x:c>
      <x:c r="G160" s="11" t="str">
        <x:v>C-0075</x:v>
      </x:c>
      <x:c r="H160" s="11" t="str">
        <x:v>Recurrente</x:v>
      </x:c>
      <x:c r="I160" s="11" t="n">
        <x:v>1</x:v>
      </x:c>
      <x:c r="J160" s="18" t="n">
        <x:v>28300</x:v>
      </x:c>
      <x:c r="K160" s="16" t="n">
        <x:v>0</x:v>
      </x:c>
      <x:c r="L160" s="18" t="n">
        <x:v>18700</x:v>
      </x:c>
      <x:c r="M160" s="11" t="str">
        <x:v>Transferencia</x:v>
      </x:c>
      <x:c r="N160" s="11" t="n">
        <x:v>32</x:v>
      </x:c>
      <x:c r="O160" s="11" t="str">
        <x:v>A tiempo</x:v>
      </x:c>
      <x:c r="P160" s="20" t="n">
        <x:v>2</x:v>
      </x:c>
      <x:c r="Q160" s="18" t="n">
        <x:f>I160*J160</x:f>
        <x:v>28300</x:v>
      </x:c>
      <x:c r="R160" s="18" t="n">
        <x:f>Q160*K160</x:f>
        <x:v>0</x:v>
      </x:c>
      <x:c r="S160" s="18" t="n">
        <x:f>Q160-R160</x:f>
        <x:v>28300</x:v>
      </x:c>
      <x:c r="T160" s="18" t="n">
        <x:f>I160*L160</x:f>
        <x:v>18700</x:v>
      </x:c>
      <x:c r="U160" s="18" t="n">
        <x:f>S160-T160</x:f>
        <x:v>9600</x:v>
      </x:c>
    </x:row>
    <x:row r="161">
      <x:c r="A161" s="11" t="str">
        <x:v>V-0019</x:v>
      </x:c>
      <x:c r="B161" s="14" t="n">
        <x:v>46095</x:v>
      </x:c>
      <x:c r="C161" s="11" t="str">
        <x:v>Neiva</x:v>
      </x:c>
      <x:c r="D161" s="11" t="str">
        <x:v>Web</x:v>
      </x:c>
      <x:c r="E161" s="11" t="str">
        <x:v>Bebidas</x:v>
      </x:c>
      <x:c r="F161" s="11" t="str">
        <x:v>Bebida fría</x:v>
      </x:c>
      <x:c r="G161" s="11" t="str">
        <x:v>C-0004</x:v>
      </x:c>
      <x:c r="H161" s="11" t="str">
        <x:v>Nuevo</x:v>
      </x:c>
      <x:c r="I161" s="11" t="n">
        <x:v>4</x:v>
      </x:c>
      <x:c r="J161" s="18" t="n">
        <x:v>6600</x:v>
      </x:c>
      <x:c r="K161" s="16" t="n">
        <x:v>0.1</x:v>
      </x:c>
      <x:c r="L161" s="18" t="n">
        <x:v>3300</x:v>
      </x:c>
      <x:c r="M161" s="11" t="str">
        <x:v>Transferencia</x:v>
      </x:c>
      <x:c r="N161" s="11" t="n">
        <x:v>37</x:v>
      </x:c>
      <x:c r="O161" s="11" t="str">
        <x:v>A tiempo</x:v>
      </x:c>
      <x:c r="P161" s="20" t="n">
        <x:v>4</x:v>
      </x:c>
      <x:c r="Q161" s="18" t="n">
        <x:f>I161*J161</x:f>
        <x:v>26400</x:v>
      </x:c>
      <x:c r="R161" s="18" t="n">
        <x:f>Q161*K161</x:f>
        <x:v>2640</x:v>
      </x:c>
      <x:c r="S161" s="18" t="n">
        <x:f>Q161-R161</x:f>
        <x:v>23760</x:v>
      </x:c>
      <x:c r="T161" s="18" t="n">
        <x:f>I161*L161</x:f>
        <x:v>13200</x:v>
      </x:c>
      <x:c r="U161" s="18" t="n">
        <x:f>S161-T161</x:f>
        <x:v>10560</x:v>
      </x:c>
    </x:row>
    <x:row r="162">
      <x:c r="A162" s="11" t="str">
        <x:v>V-0340</x:v>
      </x:c>
      <x:c r="B162" s="14" t="n">
        <x:v>46095</x:v>
      </x:c>
      <x:c r="C162" s="11" t="str">
        <x:v>Medellín</x:v>
      </x:c>
      <x:c r="D162" s="11" t="str">
        <x:v>Web</x:v>
      </x:c>
      <x:c r="E162" s="11" t="str">
        <x:v>Bebidas</x:v>
      </x:c>
      <x:c r="F162" s="11" t="str">
        <x:v>Bebida fría</x:v>
      </x:c>
      <x:c r="G162" s="11" t="str">
        <x:v>C-0015</x:v>
      </x:c>
      <x:c r="H162" s="11" t="str">
        <x:v>Recurrente</x:v>
      </x:c>
      <x:c r="I162" s="11" t="n">
        <x:v>6</x:v>
      </x:c>
      <x:c r="J162" s="18" t="n">
        <x:v>7500</x:v>
      </x:c>
      <x:c r="K162" s="16" t="n">
        <x:v>0</x:v>
      </x:c>
      <x:c r="L162" s="18" t="n">
        <x:v>4000</x:v>
      </x:c>
      <x:c r="M162" s="11" t="str">
        <x:v>Transferencia</x:v>
      </x:c>
      <x:c r="N162" s="11" t="n">
        <x:v>48</x:v>
      </x:c>
      <x:c r="O162" s="11" t="str">
        <x:v>A tiempo</x:v>
      </x:c>
      <x:c r="P162" s="20" t="n">
        <x:v>5</x:v>
      </x:c>
      <x:c r="Q162" s="18" t="n">
        <x:f>I162*J162</x:f>
        <x:v>45000</x:v>
      </x:c>
      <x:c r="R162" s="18" t="n">
        <x:f>Q162*K162</x:f>
        <x:v>0</x:v>
      </x:c>
      <x:c r="S162" s="18" t="n">
        <x:f>Q162-R162</x:f>
        <x:v>45000</x:v>
      </x:c>
      <x:c r="T162" s="18" t="n">
        <x:f>I162*L162</x:f>
        <x:v>24000</x:v>
      </x:c>
      <x:c r="U162" s="18" t="n">
        <x:f>S162-T162</x:f>
        <x:v>21000</x:v>
      </x:c>
    </x:row>
    <x:row r="163">
      <x:c r="A163" s="11" t="str">
        <x:v>V-0403</x:v>
      </x:c>
      <x:c r="B163" s="14" t="n">
        <x:v>46095</x:v>
      </x:c>
      <x:c r="C163" s="11" t="str">
        <x:v>Bogotá</x:v>
      </x:c>
      <x:c r="D163" s="11" t="str">
        <x:v>Web</x:v>
      </x:c>
      <x:c r="E163" s="11" t="str">
        <x:v>Alimentos</x:v>
      </x:c>
      <x:c r="F163" s="11" t="str">
        <x:v>Combo almuerzo</x:v>
      </x:c>
      <x:c r="G163" s="11" t="str">
        <x:v>C-0116</x:v>
      </x:c>
      <x:c r="H163" s="11" t="str">
        <x:v>Recurrente</x:v>
      </x:c>
      <x:c r="I163" s="11" t="n">
        <x:v>1</x:v>
      </x:c>
      <x:c r="J163" s="18" t="n">
        <x:v>21700</x:v>
      </x:c>
      <x:c r="K163" s="16" t="n">
        <x:v>0.05</x:v>
      </x:c>
      <x:c r="L163" s="18" t="n">
        <x:v>12600</x:v>
      </x:c>
      <x:c r="M163" s="11" t="str">
        <x:v>Transferencia</x:v>
      </x:c>
      <x:c r="N163" s="11" t="n">
        <x:v>51</x:v>
      </x:c>
      <x:c r="O163" s="11" t="str">
        <x:v>A tiempo</x:v>
      </x:c>
      <x:c r="P163" s="20" t="n">
        <x:v>5</x:v>
      </x:c>
      <x:c r="Q163" s="18" t="n">
        <x:f>I163*J163</x:f>
        <x:v>21700</x:v>
      </x:c>
      <x:c r="R163" s="18" t="n">
        <x:f>Q163*K163</x:f>
        <x:v>1085</x:v>
      </x:c>
      <x:c r="S163" s="18" t="n">
        <x:f>Q163-R163</x:f>
        <x:v>20615</x:v>
      </x:c>
      <x:c r="T163" s="18" t="n">
        <x:f>I163*L163</x:f>
        <x:v>12600</x:v>
      </x:c>
      <x:c r="U163" s="18" t="n">
        <x:f>S163-T163</x:f>
        <x:v>8015</x:v>
      </x:c>
    </x:row>
    <x:row r="164">
      <x:c r="A164" s="11" t="str">
        <x:v>V-0168</x:v>
      </x:c>
      <x:c r="B164" s="14" t="n">
        <x:v>46096</x:v>
      </x:c>
      <x:c r="C164" s="11" t="str">
        <x:v>Bogotá</x:v>
      </x:c>
      <x:c r="D164" s="11" t="str">
        <x:v>Web</x:v>
      </x:c>
      <x:c r="E164" s="11" t="str">
        <x:v>Bebidas</x:v>
      </x:c>
      <x:c r="F164" s="11" t="str">
        <x:v>Bebida fría</x:v>
      </x:c>
      <x:c r="G164" s="11" t="str">
        <x:v>C-0088</x:v>
      </x:c>
      <x:c r="H164" s="11" t="str">
        <x:v>Recurrente</x:v>
      </x:c>
      <x:c r="I164" s="11" t="n">
        <x:v>3</x:v>
      </x:c>
      <x:c r="J164" s="18" t="n">
        <x:v>7300</x:v>
      </x:c>
      <x:c r="K164" s="16" t="n">
        <x:v>0.1</x:v>
      </x:c>
      <x:c r="L164" s="18" t="n">
        <x:v>4000</x:v>
      </x:c>
      <x:c r="M164" s="11" t="str">
        <x:v>Tarjeta</x:v>
      </x:c>
      <x:c r="N164" s="11" t="n">
        <x:v>52</x:v>
      </x:c>
      <x:c r="O164" s="11" t="str">
        <x:v>A tiempo</x:v>
      </x:c>
      <x:c r="P164" s="20" t="n">
        <x:v>3</x:v>
      </x:c>
      <x:c r="Q164" s="18" t="n">
        <x:f>I164*J164</x:f>
        <x:v>21900</x:v>
      </x:c>
      <x:c r="R164" s="18" t="n">
        <x:f>Q164*K164</x:f>
        <x:v>2190</x:v>
      </x:c>
      <x:c r="S164" s="18" t="n">
        <x:f>Q164-R164</x:f>
        <x:v>19710</x:v>
      </x:c>
      <x:c r="T164" s="18" t="n">
        <x:f>I164*L164</x:f>
        <x:v>12000</x:v>
      </x:c>
      <x:c r="U164" s="18" t="n">
        <x:f>S164-T164</x:f>
        <x:v>7710</x:v>
      </x:c>
    </x:row>
    <x:row r="165">
      <x:c r="A165" s="11" t="str">
        <x:v>V-0160</x:v>
      </x:c>
      <x:c r="B165" s="14" t="n">
        <x:v>46097</x:v>
      </x:c>
      <x:c r="C165" s="11" t="str">
        <x:v>Cali</x:v>
      </x:c>
      <x:c r="D165" s="11" t="str">
        <x:v>Tienda</x:v>
      </x:c>
      <x:c r="E165" s="11" t="str">
        <x:v>Bebidas</x:v>
      </x:c>
      <x:c r="F165" s="11" t="str">
        <x:v>Bebida caliente</x:v>
      </x:c>
      <x:c r="G165" s="11" t="str">
        <x:v>C-0099</x:v>
      </x:c>
      <x:c r="H165" s="11" t="str">
        <x:v>Nuevo</x:v>
      </x:c>
      <x:c r="I165" s="11" t="n">
        <x:v>6</x:v>
      </x:c>
      <x:c r="J165" s="18" t="n">
        <x:v>6100</x:v>
      </x:c>
      <x:c r="K165" s="16" t="n">
        <x:v>0.05</x:v>
      </x:c>
      <x:c r="L165" s="18" t="n">
        <x:v>2800</x:v>
      </x:c>
      <x:c r="M165" s="11" t="str">
        <x:v>Efectivo</x:v>
      </x:c>
      <x:c r="N165" s="11" t="n">
        <x:v>0</x:v>
      </x:c>
      <x:c r="O165" s="11" t="str">
        <x:v>No aplica</x:v>
      </x:c>
      <x:c r="P165" s="20" t="n">
        <x:v>5</x:v>
      </x:c>
      <x:c r="Q165" s="18" t="n">
        <x:f>I165*J165</x:f>
        <x:v>36600</x:v>
      </x:c>
      <x:c r="R165" s="18" t="n">
        <x:f>Q165*K165</x:f>
        <x:v>1830</x:v>
      </x:c>
      <x:c r="S165" s="18" t="n">
        <x:f>Q165-R165</x:f>
        <x:v>34770</x:v>
      </x:c>
      <x:c r="T165" s="18" t="n">
        <x:f>I165*L165</x:f>
        <x:v>16800</x:v>
      </x:c>
      <x:c r="U165" s="18" t="n">
        <x:f>S165-T165</x:f>
        <x:v>17970</x:v>
      </x:c>
    </x:row>
    <x:row r="166">
      <x:c r="A166" s="11" t="str">
        <x:v>V-0195</x:v>
      </x:c>
      <x:c r="B166" s="14" t="n">
        <x:v>46097</x:v>
      </x:c>
      <x:c r="C166" s="11" t="str">
        <x:v>Bogotá</x:v>
      </x:c>
      <x:c r="D166" s="11" t="str">
        <x:v>Web</x:v>
      </x:c>
      <x:c r="E166" s="11" t="str">
        <x:v>Hogar</x:v>
      </x:c>
      <x:c r="F166" s="11" t="str">
        <x:v>Accesorio hogar</x:v>
      </x:c>
      <x:c r="G166" s="11" t="str">
        <x:v>C-0027</x:v>
      </x:c>
      <x:c r="H166" s="11" t="str">
        <x:v>Recurrente</x:v>
      </x:c>
      <x:c r="I166" s="11" t="n">
        <x:v>1</x:v>
      </x:c>
      <x:c r="J166" s="18" t="n">
        <x:v>27700</x:v>
      </x:c>
      <x:c r="K166" s="16" t="n">
        <x:v>0.05</x:v>
      </x:c>
      <x:c r="L166" s="18" t="n">
        <x:v>17300</x:v>
      </x:c>
      <x:c r="M166" s="11" t="str">
        <x:v>Tarjeta</x:v>
      </x:c>
      <x:c r="N166" s="11" t="n">
        <x:v>59</x:v>
      </x:c>
      <x:c r="O166" s="11" t="str">
        <x:v>A tiempo</x:v>
      </x:c>
      <x:c r="P166" s="20" t="n">
        <x:v>5</x:v>
      </x:c>
      <x:c r="Q166" s="18" t="n">
        <x:f>I166*J166</x:f>
        <x:v>27700</x:v>
      </x:c>
      <x:c r="R166" s="18" t="n">
        <x:f>Q166*K166</x:f>
        <x:v>1385</x:v>
      </x:c>
      <x:c r="S166" s="18" t="n">
        <x:f>Q166-R166</x:f>
        <x:v>26315</x:v>
      </x:c>
      <x:c r="T166" s="18" t="n">
        <x:f>I166*L166</x:f>
        <x:v>17300</x:v>
      </x:c>
      <x:c r="U166" s="18" t="n">
        <x:f>S166-T166</x:f>
        <x:v>9015</x:v>
      </x:c>
    </x:row>
    <x:row r="167">
      <x:c r="A167" s="11" t="str">
        <x:v>V-0213</x:v>
      </x:c>
      <x:c r="B167" s="14" t="n">
        <x:v>46098</x:v>
      </x:c>
      <x:c r="C167" s="11" t="str">
        <x:v>Medellín</x:v>
      </x:c>
      <x:c r="D167" s="11" t="str">
        <x:v>Tienda</x:v>
      </x:c>
      <x:c r="E167" s="11" t="str">
        <x:v>Cuidado personal</x:v>
      </x:c>
      <x:c r="F167" s="11" t="str">
        <x:v>Accesorio personal</x:v>
      </x:c>
      <x:c r="G167" s="11" t="str">
        <x:v>C-0046</x:v>
      </x:c>
      <x:c r="H167" s="11" t="str">
        <x:v>Recurrente</x:v>
      </x:c>
      <x:c r="I167" s="11" t="n">
        <x:v>4</x:v>
      </x:c>
      <x:c r="J167" s="18" t="n">
        <x:v>16400</x:v>
      </x:c>
      <x:c r="K167" s="16" t="n">
        <x:v>0.05</x:v>
      </x:c>
      <x:c r="L167" s="18" t="n">
        <x:v>9500</x:v>
      </x:c>
      <x:c r="M167" s="11" t="str">
        <x:v>Efectivo</x:v>
      </x:c>
      <x:c r="N167" s="11" t="n">
        <x:v>0</x:v>
      </x:c>
      <x:c r="O167" s="11" t="str">
        <x:v>No aplica</x:v>
      </x:c>
      <x:c r="P167" s="20" t="n">
        <x:v>4</x:v>
      </x:c>
      <x:c r="Q167" s="18" t="n">
        <x:f>I167*J167</x:f>
        <x:v>65600</x:v>
      </x:c>
      <x:c r="R167" s="18" t="n">
        <x:f>Q167*K167</x:f>
        <x:v>3280</x:v>
      </x:c>
      <x:c r="S167" s="18" t="n">
        <x:f>Q167-R167</x:f>
        <x:v>62320</x:v>
      </x:c>
      <x:c r="T167" s="18" t="n">
        <x:f>I167*L167</x:f>
        <x:v>38000</x:v>
      </x:c>
      <x:c r="U167" s="18" t="n">
        <x:f>S167-T167</x:f>
        <x:v>24320</x:v>
      </x:c>
    </x:row>
    <x:row r="168">
      <x:c r="A168" s="11" t="str">
        <x:v>V-0259</x:v>
      </x:c>
      <x:c r="B168" s="14" t="n">
        <x:v>46098</x:v>
      </x:c>
      <x:c r="C168" s="11" t="str">
        <x:v>Ibagué</x:v>
      </x:c>
      <x:c r="D168" s="11" t="str">
        <x:v>Tienda</x:v>
      </x:c>
      <x:c r="E168" s="11" t="str">
        <x:v>Cuidado personal</x:v>
      </x:c>
      <x:c r="F168" s="11" t="str">
        <x:v>Producto bienestar</x:v>
      </x:c>
      <x:c r="G168" s="11" t="str">
        <x:v>C-0039</x:v>
      </x:c>
      <x:c r="H168" s="11" t="str">
        <x:v>Nuevo</x:v>
      </x:c>
      <x:c r="I168" s="11" t="n">
        <x:v>2</x:v>
      </x:c>
      <x:c r="J168" s="18" t="n">
        <x:v>29700</x:v>
      </x:c>
      <x:c r="K168" s="16" t="n">
        <x:v>0.1</x:v>
      </x:c>
      <x:c r="L168" s="18" t="n">
        <x:v>17800</x:v>
      </x:c>
      <x:c r="M168" s="11" t="str">
        <x:v>Transferencia</x:v>
      </x:c>
      <x:c r="N168" s="11" t="n">
        <x:v>0</x:v>
      </x:c>
      <x:c r="O168" s="11" t="str">
        <x:v>No aplica</x:v>
      </x:c>
      <x:c r="P168" s="20" t="n">
        <x:v>4</x:v>
      </x:c>
      <x:c r="Q168" s="18" t="n">
        <x:f>I168*J168</x:f>
        <x:v>59400</x:v>
      </x:c>
      <x:c r="R168" s="18" t="n">
        <x:f>Q168*K168</x:f>
        <x:v>5940</x:v>
      </x:c>
      <x:c r="S168" s="18" t="n">
        <x:f>Q168-R168</x:f>
        <x:v>53460</x:v>
      </x:c>
      <x:c r="T168" s="18" t="n">
        <x:f>I168*L168</x:f>
        <x:v>35600</x:v>
      </x:c>
      <x:c r="U168" s="18" t="n">
        <x:f>S168-T168</x:f>
        <x:v>17860</x:v>
      </x:c>
    </x:row>
    <x:row r="169">
      <x:c r="A169" s="11" t="str">
        <x:v>V-0014</x:v>
      </x:c>
      <x:c r="B169" s="14" t="n">
        <x:v>46099</x:v>
      </x:c>
      <x:c r="C169" s="11" t="str">
        <x:v>Neiva</x:v>
      </x:c>
      <x:c r="D169" s="11" t="str">
        <x:v>App</x:v>
      </x:c>
      <x:c r="E169" s="11" t="str">
        <x:v>Bebidas</x:v>
      </x:c>
      <x:c r="F169" s="11" t="str">
        <x:v>Bebida fría</x:v>
      </x:c>
      <x:c r="G169" s="11" t="str">
        <x:v>C-0070</x:v>
      </x:c>
      <x:c r="H169" s="11" t="str">
        <x:v>Nuevo</x:v>
      </x:c>
      <x:c r="I169" s="11" t="n">
        <x:v>5</x:v>
      </x:c>
      <x:c r="J169" s="18" t="n">
        <x:v>7300</x:v>
      </x:c>
      <x:c r="K169" s="16" t="n">
        <x:v>0</x:v>
      </x:c>
      <x:c r="L169" s="18" t="n">
        <x:v>3700</x:v>
      </x:c>
      <x:c r="M169" s="11" t="str">
        <x:v>Transferencia</x:v>
      </x:c>
      <x:c r="N169" s="11" t="n">
        <x:v>28</x:v>
      </x:c>
      <x:c r="O169" s="11" t="str">
        <x:v>A tiempo</x:v>
      </x:c>
      <x:c r="P169" s="20" t="n">
        <x:v>4</x:v>
      </x:c>
      <x:c r="Q169" s="18" t="n">
        <x:f>I169*J169</x:f>
        <x:v>36500</x:v>
      </x:c>
      <x:c r="R169" s="18" t="n">
        <x:f>Q169*K169</x:f>
        <x:v>0</x:v>
      </x:c>
      <x:c r="S169" s="18" t="n">
        <x:f>Q169-R169</x:f>
        <x:v>36500</x:v>
      </x:c>
      <x:c r="T169" s="18" t="n">
        <x:f>I169*L169</x:f>
        <x:v>18500</x:v>
      </x:c>
      <x:c r="U169" s="18" t="n">
        <x:f>S169-T169</x:f>
        <x:v>18000</x:v>
      </x:c>
    </x:row>
    <x:row r="170">
      <x:c r="A170" s="11" t="str">
        <x:v>V-0016</x:v>
      </x:c>
      <x:c r="B170" s="14" t="n">
        <x:v>46100</x:v>
      </x:c>
      <x:c r="C170" s="11" t="str">
        <x:v>Neiva</x:v>
      </x:c>
      <x:c r="D170" s="11" t="str">
        <x:v>Tienda</x:v>
      </x:c>
      <x:c r="E170" s="11" t="str">
        <x:v>Cuidado personal</x:v>
      </x:c>
      <x:c r="F170" s="11" t="str">
        <x:v>Producto bienestar</x:v>
      </x:c>
      <x:c r="G170" s="11" t="str">
        <x:v>C-0046</x:v>
      </x:c>
      <x:c r="H170" s="11" t="str">
        <x:v>Nuevo</x:v>
      </x:c>
      <x:c r="I170" s="11" t="n">
        <x:v>6</x:v>
      </x:c>
      <x:c r="J170" s="18" t="n">
        <x:v>32300</x:v>
      </x:c>
      <x:c r="K170" s="16" t="n">
        <x:v>0.2</x:v>
      </x:c>
      <x:c r="L170" s="18" t="n">
        <x:v>19900</x:v>
      </x:c>
      <x:c r="M170" s="11" t="str">
        <x:v>Efectivo</x:v>
      </x:c>
      <x:c r="N170" s="11" t="n">
        <x:v>0</x:v>
      </x:c>
      <x:c r="O170" s="11" t="str">
        <x:v>No aplica</x:v>
      </x:c>
      <x:c r="P170" s="20" t="n">
        <x:v>5</x:v>
      </x:c>
      <x:c r="Q170" s="18" t="n">
        <x:f>I170*J170</x:f>
        <x:v>193800</x:v>
      </x:c>
      <x:c r="R170" s="18" t="n">
        <x:f>Q170*K170</x:f>
        <x:v>38760</x:v>
      </x:c>
      <x:c r="S170" s="18" t="n">
        <x:f>Q170-R170</x:f>
        <x:v>155040</x:v>
      </x:c>
      <x:c r="T170" s="18" t="n">
        <x:f>I170*L170</x:f>
        <x:v>119400</x:v>
      </x:c>
      <x:c r="U170" s="18" t="n">
        <x:f>S170-T170</x:f>
        <x:v>35640</x:v>
      </x:c>
    </x:row>
    <x:row r="171">
      <x:c r="A171" s="11" t="str">
        <x:v>V-0244</x:v>
      </x:c>
      <x:c r="B171" s="14" t="n">
        <x:v>46100</x:v>
      </x:c>
      <x:c r="C171" s="11" t="str">
        <x:v>Medellín</x:v>
      </x:c>
      <x:c r="D171" s="11" t="str">
        <x:v>Tienda</x:v>
      </x:c>
      <x:c r="E171" s="11" t="str">
        <x:v>Hogar</x:v>
      </x:c>
      <x:c r="F171" s="11" t="str">
        <x:v>Accesorio hogar</x:v>
      </x:c>
      <x:c r="G171" s="11" t="str">
        <x:v>C-0119</x:v>
      </x:c>
      <x:c r="H171" s="11" t="str">
        <x:v>Recurrente</x:v>
      </x:c>
      <x:c r="I171" s="11" t="n">
        <x:v>3</x:v>
      </x:c>
      <x:c r="J171" s="18" t="n">
        <x:v>29500</x:v>
      </x:c>
      <x:c r="K171" s="16" t="n">
        <x:v>0.05</x:v>
      </x:c>
      <x:c r="L171" s="18" t="n">
        <x:v>18600</x:v>
      </x:c>
      <x:c r="M171" s="11" t="str">
        <x:v>Billetera digital</x:v>
      </x:c>
      <x:c r="N171" s="11" t="n">
        <x:v>0</x:v>
      </x:c>
      <x:c r="O171" s="11" t="str">
        <x:v>No aplica</x:v>
      </x:c>
      <x:c r="P171" s="20" t="n">
        <x:v>4</x:v>
      </x:c>
      <x:c r="Q171" s="18" t="n">
        <x:f>I171*J171</x:f>
        <x:v>88500</x:v>
      </x:c>
      <x:c r="R171" s="18" t="n">
        <x:f>Q171*K171</x:f>
        <x:v>4425</x:v>
      </x:c>
      <x:c r="S171" s="18" t="n">
        <x:f>Q171-R171</x:f>
        <x:v>84075</x:v>
      </x:c>
      <x:c r="T171" s="18" t="n">
        <x:f>I171*L171</x:f>
        <x:v>55800</x:v>
      </x:c>
      <x:c r="U171" s="18" t="n">
        <x:f>S171-T171</x:f>
        <x:v>28275</x:v>
      </x:c>
    </x:row>
    <x:row r="172">
      <x:c r="A172" s="11" t="str">
        <x:v>V-0368</x:v>
      </x:c>
      <x:c r="B172" s="14" t="n">
        <x:v>46100</x:v>
      </x:c>
      <x:c r="C172" s="11" t="str">
        <x:v>Bogotá</x:v>
      </x:c>
      <x:c r="D172" s="11" t="str">
        <x:v>Web</x:v>
      </x:c>
      <x:c r="E172" s="11" t="str">
        <x:v>Bebidas</x:v>
      </x:c>
      <x:c r="F172" s="11" t="str">
        <x:v>Bebida fría</x:v>
      </x:c>
      <x:c r="G172" s="11" t="str">
        <x:v>C-0048</x:v>
      </x:c>
      <x:c r="H172" s="11" t="str">
        <x:v>Recurrente</x:v>
      </x:c>
      <x:c r="I172" s="11" t="n">
        <x:v>5</x:v>
      </x:c>
      <x:c r="J172" s="18" t="n">
        <x:v>7700</x:v>
      </x:c>
      <x:c r="K172" s="16" t="n">
        <x:v>0.1</x:v>
      </x:c>
      <x:c r="L172" s="18" t="n">
        <x:v>4000</x:v>
      </x:c>
      <x:c r="M172" s="11" t="str">
        <x:v>Billetera digital</x:v>
      </x:c>
      <x:c r="N172" s="11" t="n">
        <x:v>74</x:v>
      </x:c>
      <x:c r="O172" s="11" t="str">
        <x:v>Tardía</x:v>
      </x:c>
      <x:c r="P172" s="20" t="n">
        <x:v>4</x:v>
      </x:c>
      <x:c r="Q172" s="18" t="n">
        <x:f>I172*J172</x:f>
        <x:v>38500</x:v>
      </x:c>
      <x:c r="R172" s="18" t="n">
        <x:f>Q172*K172</x:f>
        <x:v>3850</x:v>
      </x:c>
      <x:c r="S172" s="18" t="n">
        <x:f>Q172-R172</x:f>
        <x:v>34650</x:v>
      </x:c>
      <x:c r="T172" s="18" t="n">
        <x:f>I172*L172</x:f>
        <x:v>20000</x:v>
      </x:c>
      <x:c r="U172" s="18" t="n">
        <x:f>S172-T172</x:f>
        <x:v>14650</x:v>
      </x:c>
    </x:row>
    <x:row r="173">
      <x:c r="A173" s="11" t="str">
        <x:v>V-0040</x:v>
      </x:c>
      <x:c r="B173" s="14" t="n">
        <x:v>46101</x:v>
      </x:c>
      <x:c r="C173" s="11" t="str">
        <x:v>Cali</x:v>
      </x:c>
      <x:c r="D173" s="11" t="str">
        <x:v>Tienda</x:v>
      </x:c>
      <x:c r="E173" s="11" t="str">
        <x:v>Hogar</x:v>
      </x:c>
      <x:c r="F173" s="11" t="str">
        <x:v>Accesorio hogar</x:v>
      </x:c>
      <x:c r="G173" s="11" t="str">
        <x:v>C-0104</x:v>
      </x:c>
      <x:c r="H173" s="11" t="str">
        <x:v>Nuevo</x:v>
      </x:c>
      <x:c r="I173" s="11" t="n">
        <x:v>4</x:v>
      </x:c>
      <x:c r="J173" s="18" t="n">
        <x:v>26200</x:v>
      </x:c>
      <x:c r="K173" s="16" t="n">
        <x:v>0</x:v>
      </x:c>
      <x:c r="L173" s="18" t="n">
        <x:v>17200</x:v>
      </x:c>
      <x:c r="M173" s="11" t="str">
        <x:v>Efectivo</x:v>
      </x:c>
      <x:c r="N173" s="11" t="n">
        <x:v>0</x:v>
      </x:c>
      <x:c r="O173" s="11" t="str">
        <x:v>No aplica</x:v>
      </x:c>
      <x:c r="P173" s="20" t="n">
        <x:v>5</x:v>
      </x:c>
      <x:c r="Q173" s="18" t="n">
        <x:f>I173*J173</x:f>
        <x:v>104800</x:v>
      </x:c>
      <x:c r="R173" s="18" t="n">
        <x:f>Q173*K173</x:f>
        <x:v>0</x:v>
      </x:c>
      <x:c r="S173" s="18" t="n">
        <x:f>Q173-R173</x:f>
        <x:v>104800</x:v>
      </x:c>
      <x:c r="T173" s="18" t="n">
        <x:f>I173*L173</x:f>
        <x:v>68800</x:v>
      </x:c>
      <x:c r="U173" s="18" t="n">
        <x:f>S173-T173</x:f>
        <x:v>36000</x:v>
      </x:c>
    </x:row>
    <x:row r="174">
      <x:c r="A174" s="11" t="str">
        <x:v>V-0231</x:v>
      </x:c>
      <x:c r="B174" s="14" t="n">
        <x:v>46101</x:v>
      </x:c>
      <x:c r="C174" s="11" t="str">
        <x:v>Cali</x:v>
      </x:c>
      <x:c r="D174" s="11" t="str">
        <x:v>App</x:v>
      </x:c>
      <x:c r="E174" s="11" t="str">
        <x:v>Bebidas</x:v>
      </x:c>
      <x:c r="F174" s="11" t="str">
        <x:v>Bebida caliente</x:v>
      </x:c>
      <x:c r="G174" s="11" t="str">
        <x:v>C-0057</x:v>
      </x:c>
      <x:c r="H174" s="11" t="str">
        <x:v>Recurrente</x:v>
      </x:c>
      <x:c r="I174" s="11" t="n">
        <x:v>1</x:v>
      </x:c>
      <x:c r="J174" s="18" t="n">
        <x:v>7300</x:v>
      </x:c>
      <x:c r="K174" s="16" t="n">
        <x:v>0.1</x:v>
      </x:c>
      <x:c r="L174" s="18" t="n">
        <x:v>3600</x:v>
      </x:c>
      <x:c r="M174" s="11" t="str">
        <x:v>Transferencia</x:v>
      </x:c>
      <x:c r="N174" s="11" t="n">
        <x:v>43</x:v>
      </x:c>
      <x:c r="O174" s="11" t="str">
        <x:v>A tiempo</x:v>
      </x:c>
      <x:c r="P174" s="20" t="n">
        <x:v>5</x:v>
      </x:c>
      <x:c r="Q174" s="18" t="n">
        <x:f>I174*J174</x:f>
        <x:v>7300</x:v>
      </x:c>
      <x:c r="R174" s="18" t="n">
        <x:f>Q174*K174</x:f>
        <x:v>730</x:v>
      </x:c>
      <x:c r="S174" s="18" t="n">
        <x:f>Q174-R174</x:f>
        <x:v>6570</x:v>
      </x:c>
      <x:c r="T174" s="18" t="n">
        <x:f>I174*L174</x:f>
        <x:v>3600</x:v>
      </x:c>
      <x:c r="U174" s="18" t="n">
        <x:f>S174-T174</x:f>
        <x:v>2970</x:v>
      </x:c>
    </x:row>
    <x:row r="175">
      <x:c r="A175" s="11" t="str">
        <x:v>V-0268</x:v>
      </x:c>
      <x:c r="B175" s="14" t="n">
        <x:v>46101</x:v>
      </x:c>
      <x:c r="C175" s="11" t="str">
        <x:v>Neiva</x:v>
      </x:c>
      <x:c r="D175" s="11" t="str">
        <x:v>Tienda</x:v>
      </x:c>
      <x:c r="E175" s="11" t="str">
        <x:v>Alimentos</x:v>
      </x:c>
      <x:c r="F175" s="11" t="str">
        <x:v>Combo almuerzo</x:v>
      </x:c>
      <x:c r="G175" s="11" t="str">
        <x:v>C-0113</x:v>
      </x:c>
      <x:c r="H175" s="11" t="str">
        <x:v>Recurrente</x:v>
      </x:c>
      <x:c r="I175" s="11" t="n">
        <x:v>3</x:v>
      </x:c>
      <x:c r="J175" s="18" t="n">
        <x:v>21900</x:v>
      </x:c>
      <x:c r="K175" s="16" t="n">
        <x:v>0</x:v>
      </x:c>
      <x:c r="L175" s="18" t="n">
        <x:v>13700</x:v>
      </x:c>
      <x:c r="M175" s="11" t="str">
        <x:v>Transferencia</x:v>
      </x:c>
      <x:c r="N175" s="11" t="n">
        <x:v>0</x:v>
      </x:c>
      <x:c r="O175" s="11" t="str">
        <x:v>No aplica</x:v>
      </x:c>
      <x:c r="P175" s="20" t="n">
        <x:v>5</x:v>
      </x:c>
      <x:c r="Q175" s="18" t="n">
        <x:f>I175*J175</x:f>
        <x:v>65700</x:v>
      </x:c>
      <x:c r="R175" s="18" t="n">
        <x:f>Q175*K175</x:f>
        <x:v>0</x:v>
      </x:c>
      <x:c r="S175" s="18" t="n">
        <x:f>Q175-R175</x:f>
        <x:v>65700</x:v>
      </x:c>
      <x:c r="T175" s="18" t="n">
        <x:f>I175*L175</x:f>
        <x:v>41100</x:v>
      </x:c>
      <x:c r="U175" s="18" t="n">
        <x:f>S175-T175</x:f>
        <x:v>24600</x:v>
      </x:c>
    </x:row>
    <x:row r="176">
      <x:c r="A176" s="11" t="str">
        <x:v>V-0277</x:v>
      </x:c>
      <x:c r="B176" s="14" t="n">
        <x:v>46101</x:v>
      </x:c>
      <x:c r="C176" s="11" t="str">
        <x:v>Florencia</x:v>
      </x:c>
      <x:c r="D176" s="11" t="str">
        <x:v>Web</x:v>
      </x:c>
      <x:c r="E176" s="11" t="str">
        <x:v>Cuidado personal</x:v>
      </x:c>
      <x:c r="F176" s="11" t="str">
        <x:v>Kit cuidado</x:v>
      </x:c>
      <x:c r="G176" s="11" t="str">
        <x:v>C-0018</x:v>
      </x:c>
      <x:c r="H176" s="11" t="str">
        <x:v>Nuevo</x:v>
      </x:c>
      <x:c r="I176" s="11" t="n">
        <x:v>1</x:v>
      </x:c>
      <x:c r="J176" s="18" t="n">
        <x:v>40300</x:v>
      </x:c>
      <x:c r="K176" s="16" t="n">
        <x:v>0</x:v>
      </x:c>
      <x:c r="L176" s="18" t="n">
        <x:v>25700</x:v>
      </x:c>
      <x:c r="M176" s="11" t="str">
        <x:v>Transferencia</x:v>
      </x:c>
      <x:c r="N176" s="11" t="n">
        <x:v>75</x:v>
      </x:c>
      <x:c r="O176" s="11" t="str">
        <x:v>Tardía</x:v>
      </x:c>
      <x:c r="P176" s="20" t="n">
        <x:v>5</x:v>
      </x:c>
      <x:c r="Q176" s="18" t="n">
        <x:f>I176*J176</x:f>
        <x:v>40300</x:v>
      </x:c>
      <x:c r="R176" s="18" t="n">
        <x:f>Q176*K176</x:f>
        <x:v>0</x:v>
      </x:c>
      <x:c r="S176" s="18" t="n">
        <x:f>Q176-R176</x:f>
        <x:v>40300</x:v>
      </x:c>
      <x:c r="T176" s="18" t="n">
        <x:f>I176*L176</x:f>
        <x:v>25700</x:v>
      </x:c>
      <x:c r="U176" s="18" t="n">
        <x:f>S176-T176</x:f>
        <x:v>14600</x:v>
      </x:c>
    </x:row>
    <x:row r="177">
      <x:c r="A177" s="11" t="str">
        <x:v>V-0442</x:v>
      </x:c>
      <x:c r="B177" s="14" t="n">
        <x:v>46101</x:v>
      </x:c>
      <x:c r="C177" s="11" t="str">
        <x:v>Neiva</x:v>
      </x:c>
      <x:c r="D177" s="11" t="str">
        <x:v>Tienda</x:v>
      </x:c>
      <x:c r="E177" s="11" t="str">
        <x:v>Hogar</x:v>
      </x:c>
      <x:c r="F177" s="11" t="str">
        <x:v>Organizador</x:v>
      </x:c>
      <x:c r="G177" s="11" t="str">
        <x:v>C-0011</x:v>
      </x:c>
      <x:c r="H177" s="11" t="str">
        <x:v>Recurrente</x:v>
      </x:c>
      <x:c r="I177" s="11" t="n">
        <x:v>1</x:v>
      </x:c>
      <x:c r="J177" s="18" t="n">
        <x:v>38400</x:v>
      </x:c>
      <x:c r="K177" s="16" t="n">
        <x:v>0</x:v>
      </x:c>
      <x:c r="L177" s="18" t="n">
        <x:v>22700</x:v>
      </x:c>
      <x:c r="M177" s="11" t="str">
        <x:v>Efectivo</x:v>
      </x:c>
      <x:c r="N177" s="11" t="n">
        <x:v>0</x:v>
      </x:c>
      <x:c r="O177" s="11" t="str">
        <x:v>No aplica</x:v>
      </x:c>
      <x:c r="P177" s="20" t="n">
        <x:v>5</x:v>
      </x:c>
      <x:c r="Q177" s="18" t="n">
        <x:f>I177*J177</x:f>
        <x:v>38400</x:v>
      </x:c>
      <x:c r="R177" s="18" t="n">
        <x:f>Q177*K177</x:f>
        <x:v>0</x:v>
      </x:c>
      <x:c r="S177" s="18" t="n">
        <x:f>Q177-R177</x:f>
        <x:v>38400</x:v>
      </x:c>
      <x:c r="T177" s="18" t="n">
        <x:f>I177*L177</x:f>
        <x:v>22700</x:v>
      </x:c>
      <x:c r="U177" s="18" t="n">
        <x:f>S177-T177</x:f>
        <x:v>15700</x:v>
      </x:c>
    </x:row>
    <x:row r="178">
      <x:c r="A178" s="11" t="str">
        <x:v>V-0120</x:v>
      </x:c>
      <x:c r="B178" s="14" t="n">
        <x:v>46102</x:v>
      </x:c>
      <x:c r="C178" s="11" t="str">
        <x:v>Bogotá</x:v>
      </x:c>
      <x:c r="D178" s="11" t="str">
        <x:v>Web</x:v>
      </x:c>
      <x:c r="E178" s="11" t="str">
        <x:v>Bebidas</x:v>
      </x:c>
      <x:c r="F178" s="11" t="str">
        <x:v>Bebida fría</x:v>
      </x:c>
      <x:c r="G178" s="11" t="str">
        <x:v>C-0023</x:v>
      </x:c>
      <x:c r="H178" s="11" t="str">
        <x:v>Recurrente</x:v>
      </x:c>
      <x:c r="I178" s="11" t="n">
        <x:v>1</x:v>
      </x:c>
      <x:c r="J178" s="18" t="n">
        <x:v>6600</x:v>
      </x:c>
      <x:c r="K178" s="16" t="n">
        <x:v>0</x:v>
      </x:c>
      <x:c r="L178" s="18" t="n">
        <x:v>3400</x:v>
      </x:c>
      <x:c r="M178" s="11" t="str">
        <x:v>Billetera digital</x:v>
      </x:c>
      <x:c r="N178" s="11" t="n">
        <x:v>60</x:v>
      </x:c>
      <x:c r="O178" s="11" t="str">
        <x:v>A tiempo</x:v>
      </x:c>
      <x:c r="P178" s="20" t="n">
        <x:v>4</x:v>
      </x:c>
      <x:c r="Q178" s="18" t="n">
        <x:f>I178*J178</x:f>
        <x:v>6600</x:v>
      </x:c>
      <x:c r="R178" s="18" t="n">
        <x:f>Q178*K178</x:f>
        <x:v>0</x:v>
      </x:c>
      <x:c r="S178" s="18" t="n">
        <x:f>Q178-R178</x:f>
        <x:v>6600</x:v>
      </x:c>
      <x:c r="T178" s="18" t="n">
        <x:f>I178*L178</x:f>
        <x:v>3400</x:v>
      </x:c>
      <x:c r="U178" s="18" t="n">
        <x:f>S178-T178</x:f>
        <x:v>3200</x:v>
      </x:c>
    </x:row>
    <x:row r="179">
      <x:c r="A179" s="11" t="str">
        <x:v>V-0159</x:v>
      </x:c>
      <x:c r="B179" s="14" t="n">
        <x:v>46103</x:v>
      </x:c>
      <x:c r="C179" s="11" t="str">
        <x:v>Bogotá</x:v>
      </x:c>
      <x:c r="D179" s="11" t="str">
        <x:v>App</x:v>
      </x:c>
      <x:c r="E179" s="11" t="str">
        <x:v>Cuidado personal</x:v>
      </x:c>
      <x:c r="F179" s="11" t="str">
        <x:v>Producto bienestar</x:v>
      </x:c>
      <x:c r="G179" s="11" t="str">
        <x:v>C-0085</x:v>
      </x:c>
      <x:c r="H179" s="11" t="str">
        <x:v>Recurrente</x:v>
      </x:c>
      <x:c r="I179" s="11" t="n">
        <x:v>2</x:v>
      </x:c>
      <x:c r="J179" s="18" t="n">
        <x:v>31600</x:v>
      </x:c>
      <x:c r="K179" s="16" t="n">
        <x:v>0.15</x:v>
      </x:c>
      <x:c r="L179" s="18" t="n">
        <x:v>18300</x:v>
      </x:c>
      <x:c r="M179" s="11" t="str">
        <x:v>Billetera digital</x:v>
      </x:c>
      <x:c r="N179" s="11" t="n">
        <x:v>36</x:v>
      </x:c>
      <x:c r="O179" s="11" t="str">
        <x:v>A tiempo</x:v>
      </x:c>
      <x:c r="P179" s="20" t="n">
        <x:v>5</x:v>
      </x:c>
      <x:c r="Q179" s="18" t="n">
        <x:f>I179*J179</x:f>
        <x:v>63200</x:v>
      </x:c>
      <x:c r="R179" s="18" t="n">
        <x:f>Q179*K179</x:f>
        <x:v>9480</x:v>
      </x:c>
      <x:c r="S179" s="18" t="n">
        <x:f>Q179-R179</x:f>
        <x:v>53720</x:v>
      </x:c>
      <x:c r="T179" s="18" t="n">
        <x:f>I179*L179</x:f>
        <x:v>36600</x:v>
      </x:c>
      <x:c r="U179" s="18" t="n">
        <x:f>S179-T179</x:f>
        <x:v>17120</x:v>
      </x:c>
    </x:row>
    <x:row r="180">
      <x:c r="A180" s="11" t="str">
        <x:v>V-0404</x:v>
      </x:c>
      <x:c r="B180" s="14" t="n">
        <x:v>46103</x:v>
      </x:c>
      <x:c r="C180" s="11" t="str">
        <x:v>Neiva</x:v>
      </x:c>
      <x:c r="D180" s="11" t="str">
        <x:v>App</x:v>
      </x:c>
      <x:c r="E180" s="11" t="str">
        <x:v>Cuidado personal</x:v>
      </x:c>
      <x:c r="F180" s="11" t="str">
        <x:v>Accesorio personal</x:v>
      </x:c>
      <x:c r="G180" s="11" t="str">
        <x:v>C-0111</x:v>
      </x:c>
      <x:c r="H180" s="11" t="str">
        <x:v>Recurrente</x:v>
      </x:c>
      <x:c r="I180" s="11" t="n">
        <x:v>2</x:v>
      </x:c>
      <x:c r="J180" s="18" t="n">
        <x:v>17100</x:v>
      </x:c>
      <x:c r="K180" s="16" t="n">
        <x:v>0.05</x:v>
      </x:c>
      <x:c r="L180" s="18" t="n">
        <x:v>9600</x:v>
      </x:c>
      <x:c r="M180" s="11" t="str">
        <x:v>Billetera digital</x:v>
      </x:c>
      <x:c r="N180" s="11" t="n">
        <x:v>51</x:v>
      </x:c>
      <x:c r="O180" s="11" t="str">
        <x:v>A tiempo</x:v>
      </x:c>
      <x:c r="P180" s="20" t="n">
        <x:v>4</x:v>
      </x:c>
      <x:c r="Q180" s="18" t="n">
        <x:f>I180*J180</x:f>
        <x:v>34200</x:v>
      </x:c>
      <x:c r="R180" s="18" t="n">
        <x:f>Q180*K180</x:f>
        <x:v>1710</x:v>
      </x:c>
      <x:c r="S180" s="18" t="n">
        <x:f>Q180-R180</x:f>
        <x:v>32490</x:v>
      </x:c>
      <x:c r="T180" s="18" t="n">
        <x:f>I180*L180</x:f>
        <x:v>19200</x:v>
      </x:c>
      <x:c r="U180" s="18" t="n">
        <x:f>S180-T180</x:f>
        <x:v>13290</x:v>
      </x:c>
    </x:row>
    <x:row r="181">
      <x:c r="A181" s="11" t="str">
        <x:v>V-0086</x:v>
      </x:c>
      <x:c r="B181" s="14" t="n">
        <x:v>46105</x:v>
      </x:c>
      <x:c r="C181" s="11" t="str">
        <x:v>Bogotá</x:v>
      </x:c>
      <x:c r="D181" s="11" t="str">
        <x:v>Tienda</x:v>
      </x:c>
      <x:c r="E181" s="11" t="str">
        <x:v>Alimentos</x:v>
      </x:c>
      <x:c r="F181" s="11" t="str">
        <x:v>Combo almuerzo</x:v>
      </x:c>
      <x:c r="G181" s="11" t="str">
        <x:v>C-0044</x:v>
      </x:c>
      <x:c r="H181" s="11" t="str">
        <x:v>Recurrente</x:v>
      </x:c>
      <x:c r="I181" s="11" t="n">
        <x:v>2</x:v>
      </x:c>
      <x:c r="J181" s="18" t="n">
        <x:v>21000</x:v>
      </x:c>
      <x:c r="K181" s="16" t="n">
        <x:v>0.1</x:v>
      </x:c>
      <x:c r="L181" s="18" t="n">
        <x:v>12600</x:v>
      </x:c>
      <x:c r="M181" s="11" t="str">
        <x:v>Tarjeta</x:v>
      </x:c>
      <x:c r="N181" s="11" t="n">
        <x:v>0</x:v>
      </x:c>
      <x:c r="O181" s="11" t="str">
        <x:v>No aplica</x:v>
      </x:c>
      <x:c r="P181" s="20" t="n">
        <x:v>4</x:v>
      </x:c>
      <x:c r="Q181" s="18" t="n">
        <x:f>I181*J181</x:f>
        <x:v>42000</x:v>
      </x:c>
      <x:c r="R181" s="18" t="n">
        <x:f>Q181*K181</x:f>
        <x:v>4200</x:v>
      </x:c>
      <x:c r="S181" s="18" t="n">
        <x:f>Q181-R181</x:f>
        <x:v>37800</x:v>
      </x:c>
      <x:c r="T181" s="18" t="n">
        <x:f>I181*L181</x:f>
        <x:v>25200</x:v>
      </x:c>
      <x:c r="U181" s="18" t="n">
        <x:f>S181-T181</x:f>
        <x:v>12600</x:v>
      </x:c>
    </x:row>
    <x:row r="182">
      <x:c r="A182" s="11" t="str">
        <x:v>V-0095</x:v>
      </x:c>
      <x:c r="B182" s="14" t="n">
        <x:v>46105</x:v>
      </x:c>
      <x:c r="C182" s="11" t="str">
        <x:v>Medellín</x:v>
      </x:c>
      <x:c r="D182" s="11" t="str">
        <x:v>Tienda</x:v>
      </x:c>
      <x:c r="E182" s="11" t="str">
        <x:v>Bebidas</x:v>
      </x:c>
      <x:c r="F182" s="11" t="str">
        <x:v>Bebida premium</x:v>
      </x:c>
      <x:c r="G182" s="11" t="str">
        <x:v>C-0097</x:v>
      </x:c>
      <x:c r="H182" s="11" t="str">
        <x:v>Recurrente</x:v>
      </x:c>
      <x:c r="I182" s="11" t="n">
        <x:v>2</x:v>
      </x:c>
      <x:c r="J182" s="18" t="n">
        <x:v>15900</x:v>
      </x:c>
      <x:c r="K182" s="16" t="n">
        <x:v>0.15</x:v>
      </x:c>
      <x:c r="L182" s="18" t="n">
        <x:v>8900</x:v>
      </x:c>
      <x:c r="M182" s="11" t="str">
        <x:v>Transferencia</x:v>
      </x:c>
      <x:c r="N182" s="11" t="n">
        <x:v>0</x:v>
      </x:c>
      <x:c r="O182" s="11" t="str">
        <x:v>No aplica</x:v>
      </x:c>
      <x:c r="P182" s="20" t="n">
        <x:v>5</x:v>
      </x:c>
      <x:c r="Q182" s="18" t="n">
        <x:f>I182*J182</x:f>
        <x:v>31800</x:v>
      </x:c>
      <x:c r="R182" s="18" t="n">
        <x:f>Q182*K182</x:f>
        <x:v>4770</x:v>
      </x:c>
      <x:c r="S182" s="18" t="n">
        <x:f>Q182-R182</x:f>
        <x:v>27030</x:v>
      </x:c>
      <x:c r="T182" s="18" t="n">
        <x:f>I182*L182</x:f>
        <x:v>17800</x:v>
      </x:c>
      <x:c r="U182" s="18" t="n">
        <x:f>S182-T182</x:f>
        <x:v>9230</x:v>
      </x:c>
    </x:row>
    <x:row r="183">
      <x:c r="A183" s="11" t="str">
        <x:v>V-0229</x:v>
      </x:c>
      <x:c r="B183" s="14" t="n">
        <x:v>46105</x:v>
      </x:c>
      <x:c r="C183" s="11" t="str">
        <x:v>Neiva</x:v>
      </x:c>
      <x:c r="D183" s="11" t="str">
        <x:v>Web</x:v>
      </x:c>
      <x:c r="E183" s="11" t="str">
        <x:v>Cuidado personal</x:v>
      </x:c>
      <x:c r="F183" s="11" t="str">
        <x:v>Producto bienestar</x:v>
      </x:c>
      <x:c r="G183" s="11" t="str">
        <x:v>C-0094</x:v>
      </x:c>
      <x:c r="H183" s="11" t="str">
        <x:v>Recurrente</x:v>
      </x:c>
      <x:c r="I183" s="11" t="n">
        <x:v>1</x:v>
      </x:c>
      <x:c r="J183" s="18" t="n">
        <x:v>30500</x:v>
      </x:c>
      <x:c r="K183" s="16" t="n">
        <x:v>0.05</x:v>
      </x:c>
      <x:c r="L183" s="18" t="n">
        <x:v>18000</x:v>
      </x:c>
      <x:c r="M183" s="11" t="str">
        <x:v>Tarjeta</x:v>
      </x:c>
      <x:c r="N183" s="11" t="n">
        <x:v>39</x:v>
      </x:c>
      <x:c r="O183" s="11" t="str">
        <x:v>A tiempo</x:v>
      </x:c>
      <x:c r="P183" s="20" t="n">
        <x:v>5</x:v>
      </x:c>
      <x:c r="Q183" s="18" t="n">
        <x:f>I183*J183</x:f>
        <x:v>30500</x:v>
      </x:c>
      <x:c r="R183" s="18" t="n">
        <x:f>Q183*K183</x:f>
        <x:v>1525</x:v>
      </x:c>
      <x:c r="S183" s="18" t="n">
        <x:f>Q183-R183</x:f>
        <x:v>28975</x:v>
      </x:c>
      <x:c r="T183" s="18" t="n">
        <x:f>I183*L183</x:f>
        <x:v>18000</x:v>
      </x:c>
      <x:c r="U183" s="18" t="n">
        <x:f>S183-T183</x:f>
        <x:v>10975</x:v>
      </x:c>
    </x:row>
    <x:row r="184">
      <x:c r="A184" s="11" t="str">
        <x:v>V-0289</x:v>
      </x:c>
      <x:c r="B184" s="14" t="n">
        <x:v>46105</x:v>
      </x:c>
      <x:c r="C184" s="11" t="str">
        <x:v>Medellín</x:v>
      </x:c>
      <x:c r="D184" s="11" t="str">
        <x:v>Web</x:v>
      </x:c>
      <x:c r="E184" s="11" t="str">
        <x:v>Bebidas</x:v>
      </x:c>
      <x:c r="F184" s="11" t="str">
        <x:v>Bebida caliente</x:v>
      </x:c>
      <x:c r="G184" s="11" t="str">
        <x:v>C-0016</x:v>
      </x:c>
      <x:c r="H184" s="11" t="str">
        <x:v>Nuevo</x:v>
      </x:c>
      <x:c r="I184" s="11" t="n">
        <x:v>2</x:v>
      </x:c>
      <x:c r="J184" s="18" t="n">
        <x:v>6900</x:v>
      </x:c>
      <x:c r="K184" s="16" t="n">
        <x:v>0</x:v>
      </x:c>
      <x:c r="L184" s="18" t="n">
        <x:v>3300</x:v>
      </x:c>
      <x:c r="M184" s="11" t="str">
        <x:v>Tarjeta</x:v>
      </x:c>
      <x:c r="N184" s="11" t="n">
        <x:v>38</x:v>
      </x:c>
      <x:c r="O184" s="11" t="str">
        <x:v>A tiempo</x:v>
      </x:c>
      <x:c r="P184" s="20" t="n">
        <x:v>5</x:v>
      </x:c>
      <x:c r="Q184" s="18" t="n">
        <x:f>I184*J184</x:f>
        <x:v>13800</x:v>
      </x:c>
      <x:c r="R184" s="18" t="n">
        <x:f>Q184*K184</x:f>
        <x:v>0</x:v>
      </x:c>
      <x:c r="S184" s="18" t="n">
        <x:f>Q184-R184</x:f>
        <x:v>13800</x:v>
      </x:c>
      <x:c r="T184" s="18" t="n">
        <x:f>I184*L184</x:f>
        <x:v>6600</x:v>
      </x:c>
      <x:c r="U184" s="18" t="n">
        <x:f>S184-T184</x:f>
        <x:v>7200</x:v>
      </x:c>
    </x:row>
    <x:row r="185">
      <x:c r="A185" s="11" t="str">
        <x:v>V-0141</x:v>
      </x:c>
      <x:c r="B185" s="14" t="n">
        <x:v>46106</x:v>
      </x:c>
      <x:c r="C185" s="11" t="str">
        <x:v>Medellín</x:v>
      </x:c>
      <x:c r="D185" s="11" t="str">
        <x:v>Web</x:v>
      </x:c>
      <x:c r="E185" s="11" t="str">
        <x:v>Bebidas</x:v>
      </x:c>
      <x:c r="F185" s="11" t="str">
        <x:v>Bebida fría</x:v>
      </x:c>
      <x:c r="G185" s="11" t="str">
        <x:v>C-0038</x:v>
      </x:c>
      <x:c r="H185" s="11" t="str">
        <x:v>Recurrente</x:v>
      </x:c>
      <x:c r="I185" s="11" t="n">
        <x:v>2</x:v>
      </x:c>
      <x:c r="J185" s="18" t="n">
        <x:v>7400</x:v>
      </x:c>
      <x:c r="K185" s="16" t="n">
        <x:v>0.05</x:v>
      </x:c>
      <x:c r="L185" s="18" t="n">
        <x:v>3700</x:v>
      </x:c>
      <x:c r="M185" s="11" t="str">
        <x:v>Transferencia</x:v>
      </x:c>
      <x:c r="N185" s="11" t="n">
        <x:v>37</x:v>
      </x:c>
      <x:c r="O185" s="11" t="str">
        <x:v>A tiempo</x:v>
      </x:c>
      <x:c r="P185" s="20" t="n">
        <x:v>5</x:v>
      </x:c>
      <x:c r="Q185" s="18" t="n">
        <x:f>I185*J185</x:f>
        <x:v>14800</x:v>
      </x:c>
      <x:c r="R185" s="18" t="n">
        <x:f>Q185*K185</x:f>
        <x:v>740</x:v>
      </x:c>
      <x:c r="S185" s="18" t="n">
        <x:f>Q185-R185</x:f>
        <x:v>14060</x:v>
      </x:c>
      <x:c r="T185" s="18" t="n">
        <x:f>I185*L185</x:f>
        <x:v>7400</x:v>
      </x:c>
      <x:c r="U185" s="18" t="n">
        <x:f>S185-T185</x:f>
        <x:v>6660</x:v>
      </x:c>
    </x:row>
    <x:row r="186">
      <x:c r="A186" s="11" t="str">
        <x:v>V-0383</x:v>
      </x:c>
      <x:c r="B186" s="14" t="n">
        <x:v>46106</x:v>
      </x:c>
      <x:c r="C186" s="11" t="str">
        <x:v>Neiva</x:v>
      </x:c>
      <x:c r="D186" s="11" t="str">
        <x:v>App</x:v>
      </x:c>
      <x:c r="E186" s="11" t="str">
        <x:v>Alimentos</x:v>
      </x:c>
      <x:c r="F186" s="11" t="str">
        <x:v>Combo almuerzo</x:v>
      </x:c>
      <x:c r="G186" s="11" t="str">
        <x:v>C-0102</x:v>
      </x:c>
      <x:c r="H186" s="11" t="str">
        <x:v>Recurrente</x:v>
      </x:c>
      <x:c r="I186" s="11" t="n">
        <x:v>1</x:v>
      </x:c>
      <x:c r="J186" s="18" t="n">
        <x:v>24600</x:v>
      </x:c>
      <x:c r="K186" s="16" t="n">
        <x:v>0.05</x:v>
      </x:c>
      <x:c r="L186" s="18" t="n">
        <x:v>14900</x:v>
      </x:c>
      <x:c r="M186" s="11" t="str">
        <x:v>Tarjeta</x:v>
      </x:c>
      <x:c r="N186" s="11" t="n">
        <x:v>52</x:v>
      </x:c>
      <x:c r="O186" s="11" t="str">
        <x:v>A tiempo</x:v>
      </x:c>
      <x:c r="P186" s="20" t="n">
        <x:v>4</x:v>
      </x:c>
      <x:c r="Q186" s="18" t="n">
        <x:f>I186*J186</x:f>
        <x:v>24600</x:v>
      </x:c>
      <x:c r="R186" s="18" t="n">
        <x:f>Q186*K186</x:f>
        <x:v>1230</x:v>
      </x:c>
      <x:c r="S186" s="18" t="n">
        <x:f>Q186-R186</x:f>
        <x:v>23370</x:v>
      </x:c>
      <x:c r="T186" s="18" t="n">
        <x:f>I186*L186</x:f>
        <x:v>14900</x:v>
      </x:c>
      <x:c r="U186" s="18" t="n">
        <x:f>S186-T186</x:f>
        <x:v>8470</x:v>
      </x:c>
    </x:row>
    <x:row r="187">
      <x:c r="A187" s="11" t="str">
        <x:v>V-0261</x:v>
      </x:c>
      <x:c r="B187" s="14" t="n">
        <x:v>46107</x:v>
      </x:c>
      <x:c r="C187" s="11" t="str">
        <x:v>Neiva</x:v>
      </x:c>
      <x:c r="D187" s="11" t="str">
        <x:v>Web</x:v>
      </x:c>
      <x:c r="E187" s="11" t="str">
        <x:v>Alimentos</x:v>
      </x:c>
      <x:c r="F187" s="11" t="str">
        <x:v>Producto gourmet</x:v>
      </x:c>
      <x:c r="G187" s="11" t="str">
        <x:v>C-0005</x:v>
      </x:c>
      <x:c r="H187" s="11" t="str">
        <x:v>Recurrente</x:v>
      </x:c>
      <x:c r="I187" s="11" t="n">
        <x:v>3</x:v>
      </x:c>
      <x:c r="J187" s="18" t="n">
        <x:v>31400</x:v>
      </x:c>
      <x:c r="K187" s="16" t="n">
        <x:v>0.1</x:v>
      </x:c>
      <x:c r="L187" s="18" t="n">
        <x:v>19400</x:v>
      </x:c>
      <x:c r="M187" s="11" t="str">
        <x:v>Transferencia</x:v>
      </x:c>
      <x:c r="N187" s="11" t="n">
        <x:v>46</x:v>
      </x:c>
      <x:c r="O187" s="11" t="str">
        <x:v>A tiempo</x:v>
      </x:c>
      <x:c r="P187" s="20" t="n">
        <x:v>4</x:v>
      </x:c>
      <x:c r="Q187" s="18" t="n">
        <x:f>I187*J187</x:f>
        <x:v>94200</x:v>
      </x:c>
      <x:c r="R187" s="18" t="n">
        <x:f>Q187*K187</x:f>
        <x:v>9420</x:v>
      </x:c>
      <x:c r="S187" s="18" t="n">
        <x:f>Q187-R187</x:f>
        <x:v>84780</x:v>
      </x:c>
      <x:c r="T187" s="18" t="n">
        <x:f>I187*L187</x:f>
        <x:v>58200</x:v>
      </x:c>
      <x:c r="U187" s="18" t="n">
        <x:f>S187-T187</x:f>
        <x:v>26580</x:v>
      </x:c>
    </x:row>
    <x:row r="188">
      <x:c r="A188" s="11" t="str">
        <x:v>V-0292</x:v>
      </x:c>
      <x:c r="B188" s="14" t="n">
        <x:v>46108</x:v>
      </x:c>
      <x:c r="C188" s="11" t="str">
        <x:v>Florencia</x:v>
      </x:c>
      <x:c r="D188" s="11" t="str">
        <x:v>Web</x:v>
      </x:c>
      <x:c r="E188" s="11" t="str">
        <x:v>Hogar</x:v>
      </x:c>
      <x:c r="F188" s="11" t="str">
        <x:v>Organizador</x:v>
      </x:c>
      <x:c r="G188" s="11" t="str">
        <x:v>C-0098</x:v>
      </x:c>
      <x:c r="H188" s="11" t="str">
        <x:v>Recurrente</x:v>
      </x:c>
      <x:c r="I188" s="11" t="n">
        <x:v>1</x:v>
      </x:c>
      <x:c r="J188" s="18" t="n">
        <x:v>37900</x:v>
      </x:c>
      <x:c r="K188" s="16" t="n">
        <x:v>0</x:v>
      </x:c>
      <x:c r="L188" s="18" t="n">
        <x:v>23100</x:v>
      </x:c>
      <x:c r="M188" s="11" t="str">
        <x:v>Transferencia</x:v>
      </x:c>
      <x:c r="N188" s="11" t="n">
        <x:v>71</x:v>
      </x:c>
      <x:c r="O188" s="11" t="str">
        <x:v>Tardía</x:v>
      </x:c>
      <x:c r="P188" s="20" t="n">
        <x:v>2</x:v>
      </x:c>
      <x:c r="Q188" s="18" t="n">
        <x:f>I188*J188</x:f>
        <x:v>37900</x:v>
      </x:c>
      <x:c r="R188" s="18" t="n">
        <x:f>Q188*K188</x:f>
        <x:v>0</x:v>
      </x:c>
      <x:c r="S188" s="18" t="n">
        <x:f>Q188-R188</x:f>
        <x:v>37900</x:v>
      </x:c>
      <x:c r="T188" s="18" t="n">
        <x:f>I188*L188</x:f>
        <x:v>23100</x:v>
      </x:c>
      <x:c r="U188" s="18" t="n">
        <x:f>S188-T188</x:f>
        <x:v>14800</x:v>
      </x:c>
    </x:row>
    <x:row r="189">
      <x:c r="A189" s="11" t="str">
        <x:v>V-0325</x:v>
      </x:c>
      <x:c r="B189" s="14" t="n">
        <x:v>46109</x:v>
      </x:c>
      <x:c r="C189" s="11" t="str">
        <x:v>Florencia</x:v>
      </x:c>
      <x:c r="D189" s="11" t="str">
        <x:v>Tienda</x:v>
      </x:c>
      <x:c r="E189" s="11" t="str">
        <x:v>Hogar</x:v>
      </x:c>
      <x:c r="F189" s="11" t="str">
        <x:v>Accesorio hogar</x:v>
      </x:c>
      <x:c r="G189" s="11" t="str">
        <x:v>C-0039</x:v>
      </x:c>
      <x:c r="H189" s="11" t="str">
        <x:v>Recurrente</x:v>
      </x:c>
      <x:c r="I189" s="11" t="n">
        <x:v>6</x:v>
      </x:c>
      <x:c r="J189" s="18" t="n">
        <x:v>29500</x:v>
      </x:c>
      <x:c r="K189" s="16" t="n">
        <x:v>0.1</x:v>
      </x:c>
      <x:c r="L189" s="18" t="n">
        <x:v>18200</x:v>
      </x:c>
      <x:c r="M189" s="11" t="str">
        <x:v>Billetera digital</x:v>
      </x:c>
      <x:c r="N189" s="11" t="n">
        <x:v>0</x:v>
      </x:c>
      <x:c r="O189" s="11" t="str">
        <x:v>No aplica</x:v>
      </x:c>
      <x:c r="P189" s="20" t="n">
        <x:v>3</x:v>
      </x:c>
      <x:c r="Q189" s="18" t="n">
        <x:f>I189*J189</x:f>
        <x:v>177000</x:v>
      </x:c>
      <x:c r="R189" s="18" t="n">
        <x:f>Q189*K189</x:f>
        <x:v>17700</x:v>
      </x:c>
      <x:c r="S189" s="18" t="n">
        <x:f>Q189-R189</x:f>
        <x:v>159300</x:v>
      </x:c>
      <x:c r="T189" s="18" t="n">
        <x:f>I189*L189</x:f>
        <x:v>109200</x:v>
      </x:c>
      <x:c r="U189" s="18" t="n">
        <x:f>S189-T189</x:f>
        <x:v>50100</x:v>
      </x:c>
    </x:row>
    <x:row r="190">
      <x:c r="A190" s="11" t="str">
        <x:v>V-0204</x:v>
      </x:c>
      <x:c r="B190" s="14" t="n">
        <x:v>46110</x:v>
      </x:c>
      <x:c r="C190" s="11" t="str">
        <x:v>Cali</x:v>
      </x:c>
      <x:c r="D190" s="11" t="str">
        <x:v>App</x:v>
      </x:c>
      <x:c r="E190" s="11" t="str">
        <x:v>Cuidado personal</x:v>
      </x:c>
      <x:c r="F190" s="11" t="str">
        <x:v>Producto bienestar</x:v>
      </x:c>
      <x:c r="G190" s="11" t="str">
        <x:v>C-0030</x:v>
      </x:c>
      <x:c r="H190" s="11" t="str">
        <x:v>Recurrente</x:v>
      </x:c>
      <x:c r="I190" s="11" t="n">
        <x:v>4</x:v>
      </x:c>
      <x:c r="J190" s="18" t="n">
        <x:v>36900</x:v>
      </x:c>
      <x:c r="K190" s="16" t="n">
        <x:v>0</x:v>
      </x:c>
      <x:c r="L190" s="18" t="n">
        <x:v>22000</x:v>
      </x:c>
      <x:c r="M190" s="11" t="str">
        <x:v>Transferencia</x:v>
      </x:c>
      <x:c r="N190" s="11" t="n">
        <x:v>72</x:v>
      </x:c>
      <x:c r="O190" s="11" t="str">
        <x:v>Tardía</x:v>
      </x:c>
      <x:c r="P190" s="20" t="n">
        <x:v>4</x:v>
      </x:c>
      <x:c r="Q190" s="18" t="n">
        <x:f>I190*J190</x:f>
        <x:v>147600</x:v>
      </x:c>
      <x:c r="R190" s="18" t="n">
        <x:f>Q190*K190</x:f>
        <x:v>0</x:v>
      </x:c>
      <x:c r="S190" s="18" t="n">
        <x:f>Q190-R190</x:f>
        <x:v>147600</x:v>
      </x:c>
      <x:c r="T190" s="18" t="n">
        <x:f>I190*L190</x:f>
        <x:v>88000</x:v>
      </x:c>
      <x:c r="U190" s="18" t="n">
        <x:f>S190-T190</x:f>
        <x:v>59600</x:v>
      </x:c>
    </x:row>
    <x:row r="191">
      <x:c r="A191" s="11" t="str">
        <x:v>V-0474</x:v>
      </x:c>
      <x:c r="B191" s="14" t="n">
        <x:v>46110</x:v>
      </x:c>
      <x:c r="C191" s="11" t="str">
        <x:v>Ibagué</x:v>
      </x:c>
      <x:c r="D191" s="11" t="str">
        <x:v>Web</x:v>
      </x:c>
      <x:c r="E191" s="11" t="str">
        <x:v>Cuidado personal</x:v>
      </x:c>
      <x:c r="F191" s="11" t="str">
        <x:v>Kit cuidado</x:v>
      </x:c>
      <x:c r="G191" s="11" t="str">
        <x:v>C-0120</x:v>
      </x:c>
      <x:c r="H191" s="11" t="str">
        <x:v>Recurrente</x:v>
      </x:c>
      <x:c r="I191" s="11" t="n">
        <x:v>2</x:v>
      </x:c>
      <x:c r="J191" s="18" t="n">
        <x:v>39300</x:v>
      </x:c>
      <x:c r="K191" s="16" t="n">
        <x:v>0</x:v>
      </x:c>
      <x:c r="L191" s="18" t="n">
        <x:v>25400</x:v>
      </x:c>
      <x:c r="M191" s="11" t="str">
        <x:v>Tarjeta</x:v>
      </x:c>
      <x:c r="N191" s="11" t="n">
        <x:v>56</x:v>
      </x:c>
      <x:c r="O191" s="11" t="str">
        <x:v>A tiempo</x:v>
      </x:c>
      <x:c r="P191" s="20" t="n">
        <x:v>5</x:v>
      </x:c>
      <x:c r="Q191" s="18" t="n">
        <x:f>I191*J191</x:f>
        <x:v>78600</x:v>
      </x:c>
      <x:c r="R191" s="18" t="n">
        <x:f>Q191*K191</x:f>
        <x:v>0</x:v>
      </x:c>
      <x:c r="S191" s="18" t="n">
        <x:f>Q191-R191</x:f>
        <x:v>78600</x:v>
      </x:c>
      <x:c r="T191" s="18" t="n">
        <x:f>I191*L191</x:f>
        <x:v>50800</x:v>
      </x:c>
      <x:c r="U191" s="18" t="n">
        <x:f>S191-T191</x:f>
        <x:v>27800</x:v>
      </x:c>
    </x:row>
    <x:row r="192">
      <x:c r="A192" s="11" t="str">
        <x:v>V-0176</x:v>
      </x:c>
      <x:c r="B192" s="14" t="n">
        <x:v>46111</x:v>
      </x:c>
      <x:c r="C192" s="11" t="str">
        <x:v>Ibagué</x:v>
      </x:c>
      <x:c r="D192" s="11" t="str">
        <x:v>Web</x:v>
      </x:c>
      <x:c r="E192" s="11" t="str">
        <x:v>Bebidas</x:v>
      </x:c>
      <x:c r="F192" s="11" t="str">
        <x:v>Bebida fría</x:v>
      </x:c>
      <x:c r="G192" s="11" t="str">
        <x:v>C-0006</x:v>
      </x:c>
      <x:c r="H192" s="11" t="str">
        <x:v>Recurrente</x:v>
      </x:c>
      <x:c r="I192" s="11" t="n">
        <x:v>1</x:v>
      </x:c>
      <x:c r="J192" s="18" t="n">
        <x:v>7100</x:v>
      </x:c>
      <x:c r="K192" s="16" t="n">
        <x:v>0.15</x:v>
      </x:c>
      <x:c r="L192" s="18" t="n">
        <x:v>3600</x:v>
      </x:c>
      <x:c r="M192" s="11" t="str">
        <x:v>Billetera digital</x:v>
      </x:c>
      <x:c r="N192" s="11" t="n">
        <x:v>41</x:v>
      </x:c>
      <x:c r="O192" s="11" t="str">
        <x:v>A tiempo</x:v>
      </x:c>
      <x:c r="P192" s="20" t="n">
        <x:v>4</x:v>
      </x:c>
      <x:c r="Q192" s="18" t="n">
        <x:f>I192*J192</x:f>
        <x:v>7100</x:v>
      </x:c>
      <x:c r="R192" s="18" t="n">
        <x:f>Q192*K192</x:f>
        <x:v>1065</x:v>
      </x:c>
      <x:c r="S192" s="18" t="n">
        <x:f>Q192-R192</x:f>
        <x:v>6035</x:v>
      </x:c>
      <x:c r="T192" s="18" t="n">
        <x:f>I192*L192</x:f>
        <x:v>3600</x:v>
      </x:c>
      <x:c r="U192" s="18" t="n">
        <x:f>S192-T192</x:f>
        <x:v>2435</x:v>
      </x:c>
    </x:row>
    <x:row r="193">
      <x:c r="A193" s="11" t="str">
        <x:v>V-0363</x:v>
      </x:c>
      <x:c r="B193" s="14" t="n">
        <x:v>46111</x:v>
      </x:c>
      <x:c r="C193" s="11" t="str">
        <x:v>Bogotá</x:v>
      </x:c>
      <x:c r="D193" s="11" t="str">
        <x:v>Web</x:v>
      </x:c>
      <x:c r="E193" s="11" t="str">
        <x:v>Cuidado personal</x:v>
      </x:c>
      <x:c r="F193" s="11" t="str">
        <x:v>Accesorio personal</x:v>
      </x:c>
      <x:c r="G193" s="11" t="str">
        <x:v>C-0024</x:v>
      </x:c>
      <x:c r="H193" s="11" t="str">
        <x:v>Recurrente</x:v>
      </x:c>
      <x:c r="I193" s="11" t="n">
        <x:v>1</x:v>
      </x:c>
      <x:c r="J193" s="18" t="n">
        <x:v>16400</x:v>
      </x:c>
      <x:c r="K193" s="16" t="n">
        <x:v>0.15</x:v>
      </x:c>
      <x:c r="L193" s="18" t="n">
        <x:v>9200</x:v>
      </x:c>
      <x:c r="M193" s="11" t="str">
        <x:v>Transferencia</x:v>
      </x:c>
      <x:c r="N193" s="11" t="n">
        <x:v>68</x:v>
      </x:c>
      <x:c r="O193" s="11" t="str">
        <x:v>Tardía</x:v>
      </x:c>
      <x:c r="P193" s="20" t="n">
        <x:v>4</x:v>
      </x:c>
      <x:c r="Q193" s="18" t="n">
        <x:f>I193*J193</x:f>
        <x:v>16400</x:v>
      </x:c>
      <x:c r="R193" s="18" t="n">
        <x:f>Q193*K193</x:f>
        <x:v>2460</x:v>
      </x:c>
      <x:c r="S193" s="18" t="n">
        <x:f>Q193-R193</x:f>
        <x:v>13940</x:v>
      </x:c>
      <x:c r="T193" s="18" t="n">
        <x:f>I193*L193</x:f>
        <x:v>9200</x:v>
      </x:c>
      <x:c r="U193" s="18" t="n">
        <x:f>S193-T193</x:f>
        <x:v>4740</x:v>
      </x:c>
    </x:row>
    <x:row r="194">
      <x:c r="A194" s="11" t="str">
        <x:v>V-0083</x:v>
      </x:c>
      <x:c r="B194" s="14" t="n">
        <x:v>46112</x:v>
      </x:c>
      <x:c r="C194" s="11" t="str">
        <x:v>Neiva</x:v>
      </x:c>
      <x:c r="D194" s="11" t="str">
        <x:v>Tienda</x:v>
      </x:c>
      <x:c r="E194" s="11" t="str">
        <x:v>Bebidas</x:v>
      </x:c>
      <x:c r="F194" s="11" t="str">
        <x:v>Bebida fría</x:v>
      </x:c>
      <x:c r="G194" s="11" t="str">
        <x:v>C-0053</x:v>
      </x:c>
      <x:c r="H194" s="11" t="str">
        <x:v>Nuevo</x:v>
      </x:c>
      <x:c r="I194" s="11" t="n">
        <x:v>2</x:v>
      </x:c>
      <x:c r="J194" s="18" t="n">
        <x:v>7500</x:v>
      </x:c>
      <x:c r="K194" s="16" t="n">
        <x:v>0</x:v>
      </x:c>
      <x:c r="L194" s="18" t="n">
        <x:v>3900</x:v>
      </x:c>
      <x:c r="M194" s="11" t="str">
        <x:v>Billetera digital</x:v>
      </x:c>
      <x:c r="N194" s="11" t="n">
        <x:v>0</x:v>
      </x:c>
      <x:c r="O194" s="11" t="str">
        <x:v>No aplica</x:v>
      </x:c>
      <x:c r="P194" s="20" t="n">
        <x:v>3</x:v>
      </x:c>
      <x:c r="Q194" s="18" t="n">
        <x:f>I194*J194</x:f>
        <x:v>15000</x:v>
      </x:c>
      <x:c r="R194" s="18" t="n">
        <x:f>Q194*K194</x:f>
        <x:v>0</x:v>
      </x:c>
      <x:c r="S194" s="18" t="n">
        <x:f>Q194-R194</x:f>
        <x:v>15000</x:v>
      </x:c>
      <x:c r="T194" s="18" t="n">
        <x:f>I194*L194</x:f>
        <x:v>7800</x:v>
      </x:c>
      <x:c r="U194" s="18" t="n">
        <x:f>S194-T194</x:f>
        <x:v>7200</x:v>
      </x:c>
    </x:row>
    <x:row r="195">
      <x:c r="A195" s="11" t="str">
        <x:v>V-0199</x:v>
      </x:c>
      <x:c r="B195" s="14" t="n">
        <x:v>46112</x:v>
      </x:c>
      <x:c r="C195" s="11" t="str">
        <x:v>Cali</x:v>
      </x:c>
      <x:c r="D195" s="11" t="str">
        <x:v>App</x:v>
      </x:c>
      <x:c r="E195" s="11" t="str">
        <x:v>Alimentos</x:v>
      </x:c>
      <x:c r="F195" s="11" t="str">
        <x:v>Snack saludable</x:v>
      </x:c>
      <x:c r="G195" s="11" t="str">
        <x:v>C-0054</x:v>
      </x:c>
      <x:c r="H195" s="11" t="str">
        <x:v>Nuevo</x:v>
      </x:c>
      <x:c r="I195" s="11" t="n">
        <x:v>1</x:v>
      </x:c>
      <x:c r="J195" s="18" t="n">
        <x:v>9400</x:v>
      </x:c>
      <x:c r="K195" s="16" t="n">
        <x:v>0</x:v>
      </x:c>
      <x:c r="L195" s="18" t="n">
        <x:v>5300</x:v>
      </x:c>
      <x:c r="M195" s="11" t="str">
        <x:v>Efectivo</x:v>
      </x:c>
      <x:c r="N195" s="11" t="n">
        <x:v>54</x:v>
      </x:c>
      <x:c r="O195" s="11" t="str">
        <x:v>A tiempo</x:v>
      </x:c>
      <x:c r="P195" s="20" t="n">
        <x:v>4</x:v>
      </x:c>
      <x:c r="Q195" s="18" t="n">
        <x:f>I195*J195</x:f>
        <x:v>9400</x:v>
      </x:c>
      <x:c r="R195" s="18" t="n">
        <x:f>Q195*K195</x:f>
        <x:v>0</x:v>
      </x:c>
      <x:c r="S195" s="18" t="n">
        <x:f>Q195-R195</x:f>
        <x:v>9400</x:v>
      </x:c>
      <x:c r="T195" s="18" t="n">
        <x:f>I195*L195</x:f>
        <x:v>5300</x:v>
      </x:c>
      <x:c r="U195" s="18" t="n">
        <x:f>S195-T195</x:f>
        <x:v>4100</x:v>
      </x:c>
    </x:row>
    <x:row r="196">
      <x:c r="A196" s="11" t="str">
        <x:v>V-0275</x:v>
      </x:c>
      <x:c r="B196" s="14" t="n">
        <x:v>46114</x:v>
      </x:c>
      <x:c r="C196" s="11" t="str">
        <x:v>Ibagué</x:v>
      </x:c>
      <x:c r="D196" s="11" t="str">
        <x:v>App</x:v>
      </x:c>
      <x:c r="E196" s="11" t="str">
        <x:v>Hogar</x:v>
      </x:c>
      <x:c r="F196" s="11" t="str">
        <x:v>Kit limpieza</x:v>
      </x:c>
      <x:c r="G196" s="11" t="str">
        <x:v>C-0072</x:v>
      </x:c>
      <x:c r="H196" s="11" t="str">
        <x:v>Recurrente</x:v>
      </x:c>
      <x:c r="I196" s="11" t="n">
        <x:v>4</x:v>
      </x:c>
      <x:c r="J196" s="18" t="n">
        <x:v>26300</x:v>
      </x:c>
      <x:c r="K196" s="16" t="n">
        <x:v>0</x:v>
      </x:c>
      <x:c r="L196" s="18" t="n">
        <x:v>15700</x:v>
      </x:c>
      <x:c r="M196" s="11" t="str">
        <x:v>Tarjeta</x:v>
      </x:c>
      <x:c r="N196" s="11" t="n">
        <x:v>46</x:v>
      </x:c>
      <x:c r="O196" s="11" t="str">
        <x:v>A tiempo</x:v>
      </x:c>
      <x:c r="P196" s="20" t="n">
        <x:v>5</x:v>
      </x:c>
      <x:c r="Q196" s="18" t="n">
        <x:f>I196*J196</x:f>
        <x:v>105200</x:v>
      </x:c>
      <x:c r="R196" s="18" t="n">
        <x:f>Q196*K196</x:f>
        <x:v>0</x:v>
      </x:c>
      <x:c r="S196" s="18" t="n">
        <x:f>Q196-R196</x:f>
        <x:v>105200</x:v>
      </x:c>
      <x:c r="T196" s="18" t="n">
        <x:f>I196*L196</x:f>
        <x:v>62800</x:v>
      </x:c>
      <x:c r="U196" s="18" t="n">
        <x:f>S196-T196</x:f>
        <x:v>42400</x:v>
      </x:c>
    </x:row>
    <x:row r="197">
      <x:c r="A197" s="11" t="str">
        <x:v>V-0469</x:v>
      </x:c>
      <x:c r="B197" s="14" t="n">
        <x:v>46114</x:v>
      </x:c>
      <x:c r="C197" s="11" t="str">
        <x:v>Medellín</x:v>
      </x:c>
      <x:c r="D197" s="11" t="str">
        <x:v>Web</x:v>
      </x:c>
      <x:c r="E197" s="11" t="str">
        <x:v>Alimentos</x:v>
      </x:c>
      <x:c r="F197" s="11" t="str">
        <x:v>Producto gourmet</x:v>
      </x:c>
      <x:c r="G197" s="11" t="str">
        <x:v>C-0115</x:v>
      </x:c>
      <x:c r="H197" s="11" t="str">
        <x:v>Recurrente</x:v>
      </x:c>
      <x:c r="I197" s="11" t="n">
        <x:v>3</x:v>
      </x:c>
      <x:c r="J197" s="18" t="n">
        <x:v>28100</x:v>
      </x:c>
      <x:c r="K197" s="16" t="n">
        <x:v>0.1</x:v>
      </x:c>
      <x:c r="L197" s="18" t="n">
        <x:v>18000</x:v>
      </x:c>
      <x:c r="M197" s="11" t="str">
        <x:v>Billetera digital</x:v>
      </x:c>
      <x:c r="N197" s="11" t="n">
        <x:v>64</x:v>
      </x:c>
      <x:c r="O197" s="11" t="str">
        <x:v>Tardía</x:v>
      </x:c>
      <x:c r="P197" s="20" t="n">
        <x:v>2</x:v>
      </x:c>
      <x:c r="Q197" s="18" t="n">
        <x:f>I197*J197</x:f>
        <x:v>84300</x:v>
      </x:c>
      <x:c r="R197" s="18" t="n">
        <x:f>Q197*K197</x:f>
        <x:v>8430</x:v>
      </x:c>
      <x:c r="S197" s="18" t="n">
        <x:f>Q197-R197</x:f>
        <x:v>75870</x:v>
      </x:c>
      <x:c r="T197" s="18" t="n">
        <x:f>I197*L197</x:f>
        <x:v>54000</x:v>
      </x:c>
      <x:c r="U197" s="18" t="n">
        <x:f>S197-T197</x:f>
        <x:v>21870</x:v>
      </x:c>
    </x:row>
    <x:row r="198">
      <x:c r="A198" s="11" t="str">
        <x:v>V-0153</x:v>
      </x:c>
      <x:c r="B198" s="14" t="n">
        <x:v>46115</x:v>
      </x:c>
      <x:c r="C198" s="11" t="str">
        <x:v>Ibagué</x:v>
      </x:c>
      <x:c r="D198" s="11" t="str">
        <x:v>Web</x:v>
      </x:c>
      <x:c r="E198" s="11" t="str">
        <x:v>Cuidado personal</x:v>
      </x:c>
      <x:c r="F198" s="11" t="str">
        <x:v>Producto bienestar</x:v>
      </x:c>
      <x:c r="G198" s="11" t="str">
        <x:v>C-0074</x:v>
      </x:c>
      <x:c r="H198" s="11" t="str">
        <x:v>Nuevo</x:v>
      </x:c>
      <x:c r="I198" s="11" t="n">
        <x:v>2</x:v>
      </x:c>
      <x:c r="J198" s="18" t="n">
        <x:v>34700</x:v>
      </x:c>
      <x:c r="K198" s="16" t="n">
        <x:v>0</x:v>
      </x:c>
      <x:c r="L198" s="18" t="n">
        <x:v>21500</x:v>
      </x:c>
      <x:c r="M198" s="11" t="str">
        <x:v>Tarjeta</x:v>
      </x:c>
      <x:c r="N198" s="11" t="n">
        <x:v>60</x:v>
      </x:c>
      <x:c r="O198" s="11" t="str">
        <x:v>A tiempo</x:v>
      </x:c>
      <x:c r="P198" s="20" t="n">
        <x:v>4</x:v>
      </x:c>
      <x:c r="Q198" s="18" t="n">
        <x:f>I198*J198</x:f>
        <x:v>69400</x:v>
      </x:c>
      <x:c r="R198" s="18" t="n">
        <x:f>Q198*K198</x:f>
        <x:v>0</x:v>
      </x:c>
      <x:c r="S198" s="18" t="n">
        <x:f>Q198-R198</x:f>
        <x:v>69400</x:v>
      </x:c>
      <x:c r="T198" s="18" t="n">
        <x:f>I198*L198</x:f>
        <x:v>43000</x:v>
      </x:c>
      <x:c r="U198" s="18" t="n">
        <x:f>S198-T198</x:f>
        <x:v>26400</x:v>
      </x:c>
    </x:row>
    <x:row r="199">
      <x:c r="A199" s="11" t="str">
        <x:v>V-0029</x:v>
      </x:c>
      <x:c r="B199" s="14" t="n">
        <x:v>46116</x:v>
      </x:c>
      <x:c r="C199" s="11" t="str">
        <x:v>Ibagué</x:v>
      </x:c>
      <x:c r="D199" s="11" t="str">
        <x:v>Tienda</x:v>
      </x:c>
      <x:c r="E199" s="11" t="str">
        <x:v>Alimentos</x:v>
      </x:c>
      <x:c r="F199" s="11" t="str">
        <x:v>Snack saludable</x:v>
      </x:c>
      <x:c r="G199" s="11" t="str">
        <x:v>C-0112</x:v>
      </x:c>
      <x:c r="H199" s="11" t="str">
        <x:v>Nuevo</x:v>
      </x:c>
      <x:c r="I199" s="11" t="n">
        <x:v>4</x:v>
      </x:c>
      <x:c r="J199" s="18" t="n">
        <x:v>8300</x:v>
      </x:c>
      <x:c r="K199" s="16" t="n">
        <x:v>0.15</x:v>
      </x:c>
      <x:c r="L199" s="18" t="n">
        <x:v>5000</x:v>
      </x:c>
      <x:c r="M199" s="11" t="str">
        <x:v>Tarjeta</x:v>
      </x:c>
      <x:c r="N199" s="11" t="n">
        <x:v>0</x:v>
      </x:c>
      <x:c r="O199" s="11" t="str">
        <x:v>No aplica</x:v>
      </x:c>
      <x:c r="P199" s="20" t="n">
        <x:v>4</x:v>
      </x:c>
      <x:c r="Q199" s="18" t="n">
        <x:f>I199*J199</x:f>
        <x:v>33200</x:v>
      </x:c>
      <x:c r="R199" s="18" t="n">
        <x:f>Q199*K199</x:f>
        <x:v>4980</x:v>
      </x:c>
      <x:c r="S199" s="18" t="n">
        <x:f>Q199-R199</x:f>
        <x:v>28220</x:v>
      </x:c>
      <x:c r="T199" s="18" t="n">
        <x:f>I199*L199</x:f>
        <x:v>20000</x:v>
      </x:c>
      <x:c r="U199" s="18" t="n">
        <x:f>S199-T199</x:f>
        <x:v>8220</x:v>
      </x:c>
    </x:row>
    <x:row r="200">
      <x:c r="A200" s="11" t="str">
        <x:v>V-0283</x:v>
      </x:c>
      <x:c r="B200" s="14" t="n">
        <x:v>46116</x:v>
      </x:c>
      <x:c r="C200" s="11" t="str">
        <x:v>Ibagué</x:v>
      </x:c>
      <x:c r="D200" s="11" t="str">
        <x:v>Tienda</x:v>
      </x:c>
      <x:c r="E200" s="11" t="str">
        <x:v>Cuidado personal</x:v>
      </x:c>
      <x:c r="F200" s="11" t="str">
        <x:v>Accesorio personal</x:v>
      </x:c>
      <x:c r="G200" s="11" t="str">
        <x:v>C-0048</x:v>
      </x:c>
      <x:c r="H200" s="11" t="str">
        <x:v>Recurrente</x:v>
      </x:c>
      <x:c r="I200" s="11" t="n">
        <x:v>1</x:v>
      </x:c>
      <x:c r="J200" s="18" t="n">
        <x:v>19300</x:v>
      </x:c>
      <x:c r="K200" s="16" t="n">
        <x:v>0.1</x:v>
      </x:c>
      <x:c r="L200" s="18" t="n">
        <x:v>10600</x:v>
      </x:c>
      <x:c r="M200" s="11" t="str">
        <x:v>Tarjeta</x:v>
      </x:c>
      <x:c r="N200" s="11" t="n">
        <x:v>0</x:v>
      </x:c>
      <x:c r="O200" s="11" t="str">
        <x:v>No aplica</x:v>
      </x:c>
      <x:c r="P200" s="20" t="n">
        <x:v>4</x:v>
      </x:c>
      <x:c r="Q200" s="18" t="n">
        <x:f>I200*J200</x:f>
        <x:v>19300</x:v>
      </x:c>
      <x:c r="R200" s="18" t="n">
        <x:f>Q200*K200</x:f>
        <x:v>1930</x:v>
      </x:c>
      <x:c r="S200" s="18" t="n">
        <x:f>Q200-R200</x:f>
        <x:v>17370</x:v>
      </x:c>
      <x:c r="T200" s="18" t="n">
        <x:f>I200*L200</x:f>
        <x:v>10600</x:v>
      </x:c>
      <x:c r="U200" s="18" t="n">
        <x:f>S200-T200</x:f>
        <x:v>6770</x:v>
      </x:c>
    </x:row>
    <x:row r="201">
      <x:c r="A201" s="11" t="str">
        <x:v>V-0243</x:v>
      </x:c>
      <x:c r="B201" s="14" t="n">
        <x:v>46118</x:v>
      </x:c>
      <x:c r="C201" s="11" t="str">
        <x:v>Bogotá</x:v>
      </x:c>
      <x:c r="D201" s="11" t="str">
        <x:v>App</x:v>
      </x:c>
      <x:c r="E201" s="11" t="str">
        <x:v>Cuidado personal</x:v>
      </x:c>
      <x:c r="F201" s="11" t="str">
        <x:v>Accesorio personal</x:v>
      </x:c>
      <x:c r="G201" s="11" t="str">
        <x:v>C-0059</x:v>
      </x:c>
      <x:c r="H201" s="11" t="str">
        <x:v>Recurrente</x:v>
      </x:c>
      <x:c r="I201" s="11" t="n">
        <x:v>4</x:v>
      </x:c>
      <x:c r="J201" s="18" t="n">
        <x:v>20000</x:v>
      </x:c>
      <x:c r="K201" s="16" t="n">
        <x:v>0.05</x:v>
      </x:c>
      <x:c r="L201" s="18" t="n">
        <x:v>11700</x:v>
      </x:c>
      <x:c r="M201" s="11" t="str">
        <x:v>Efectivo</x:v>
      </x:c>
      <x:c r="N201" s="11" t="n">
        <x:v>54</x:v>
      </x:c>
      <x:c r="O201" s="11" t="str">
        <x:v>A tiempo</x:v>
      </x:c>
      <x:c r="P201" s="20" t="n">
        <x:v>5</x:v>
      </x:c>
      <x:c r="Q201" s="18" t="n">
        <x:f>I201*J201</x:f>
        <x:v>80000</x:v>
      </x:c>
      <x:c r="R201" s="18" t="n">
        <x:f>Q201*K201</x:f>
        <x:v>4000</x:v>
      </x:c>
      <x:c r="S201" s="18" t="n">
        <x:f>Q201-R201</x:f>
        <x:v>76000</x:v>
      </x:c>
      <x:c r="T201" s="18" t="n">
        <x:f>I201*L201</x:f>
        <x:v>46800</x:v>
      </x:c>
      <x:c r="U201" s="18" t="n">
        <x:f>S201-T201</x:f>
        <x:v>29200</x:v>
      </x:c>
    </x:row>
    <x:row r="202">
      <x:c r="A202" s="11" t="str">
        <x:v>V-0409</x:v>
      </x:c>
      <x:c r="B202" s="14" t="n">
        <x:v>46118</x:v>
      </x:c>
      <x:c r="C202" s="11" t="str">
        <x:v>Bogotá</x:v>
      </x:c>
      <x:c r="D202" s="11" t="str">
        <x:v>Tienda</x:v>
      </x:c>
      <x:c r="E202" s="11" t="str">
        <x:v>Cuidado personal</x:v>
      </x:c>
      <x:c r="F202" s="11" t="str">
        <x:v>Producto bienestar</x:v>
      </x:c>
      <x:c r="G202" s="11" t="str">
        <x:v>C-0029</x:v>
      </x:c>
      <x:c r="H202" s="11" t="str">
        <x:v>Recurrente</x:v>
      </x:c>
      <x:c r="I202" s="11" t="n">
        <x:v>2</x:v>
      </x:c>
      <x:c r="J202" s="18" t="n">
        <x:v>30900</x:v>
      </x:c>
      <x:c r="K202" s="16" t="n">
        <x:v>0</x:v>
      </x:c>
      <x:c r="L202" s="18" t="n">
        <x:v>17800</x:v>
      </x:c>
      <x:c r="M202" s="11" t="str">
        <x:v>Efectivo</x:v>
      </x:c>
      <x:c r="N202" s="11" t="n">
        <x:v>0</x:v>
      </x:c>
      <x:c r="O202" s="11" t="str">
        <x:v>No aplica</x:v>
      </x:c>
      <x:c r="P202" s="20" t="n">
        <x:v>5</x:v>
      </x:c>
      <x:c r="Q202" s="18" t="n">
        <x:f>I202*J202</x:f>
        <x:v>61800</x:v>
      </x:c>
      <x:c r="R202" s="18" t="n">
        <x:f>Q202*K202</x:f>
        <x:v>0</x:v>
      </x:c>
      <x:c r="S202" s="18" t="n">
        <x:f>Q202-R202</x:f>
        <x:v>61800</x:v>
      </x:c>
      <x:c r="T202" s="18" t="n">
        <x:f>I202*L202</x:f>
        <x:v>35600</x:v>
      </x:c>
      <x:c r="U202" s="18" t="n">
        <x:f>S202-T202</x:f>
        <x:v>26200</x:v>
      </x:c>
    </x:row>
    <x:row r="203">
      <x:c r="A203" s="11" t="str">
        <x:v>V-0126</x:v>
      </x:c>
      <x:c r="B203" s="14" t="n">
        <x:v>46119</x:v>
      </x:c>
      <x:c r="C203" s="11" t="str">
        <x:v>Medellín</x:v>
      </x:c>
      <x:c r="D203" s="11" t="str">
        <x:v>Web</x:v>
      </x:c>
      <x:c r="E203" s="11" t="str">
        <x:v>Hogar</x:v>
      </x:c>
      <x:c r="F203" s="11" t="str">
        <x:v>Accesorio hogar</x:v>
      </x:c>
      <x:c r="G203" s="11" t="str">
        <x:v>C-0038</x:v>
      </x:c>
      <x:c r="H203" s="11" t="str">
        <x:v>Recurrente</x:v>
      </x:c>
      <x:c r="I203" s="11" t="n">
        <x:v>3</x:v>
      </x:c>
      <x:c r="J203" s="18" t="n">
        <x:v>27200</x:v>
      </x:c>
      <x:c r="K203" s="16" t="n">
        <x:v>0.1</x:v>
      </x:c>
      <x:c r="L203" s="18" t="n">
        <x:v>17200</x:v>
      </x:c>
      <x:c r="M203" s="11" t="str">
        <x:v>Tarjeta</x:v>
      </x:c>
      <x:c r="N203" s="11" t="n">
        <x:v>52</x:v>
      </x:c>
      <x:c r="O203" s="11" t="str">
        <x:v>A tiempo</x:v>
      </x:c>
      <x:c r="P203" s="20" t="n">
        <x:v>4</x:v>
      </x:c>
      <x:c r="Q203" s="18" t="n">
        <x:f>I203*J203</x:f>
        <x:v>81600</x:v>
      </x:c>
      <x:c r="R203" s="18" t="n">
        <x:f>Q203*K203</x:f>
        <x:v>8160</x:v>
      </x:c>
      <x:c r="S203" s="18" t="n">
        <x:f>Q203-R203</x:f>
        <x:v>73440</x:v>
      </x:c>
      <x:c r="T203" s="18" t="n">
        <x:f>I203*L203</x:f>
        <x:v>51600</x:v>
      </x:c>
      <x:c r="U203" s="18" t="n">
        <x:f>S203-T203</x:f>
        <x:v>21840</x:v>
      </x:c>
    </x:row>
    <x:row r="204">
      <x:c r="A204" s="11" t="str">
        <x:v>V-0210</x:v>
      </x:c>
      <x:c r="B204" s="14" t="n">
        <x:v>46119</x:v>
      </x:c>
      <x:c r="C204" s="11" t="str">
        <x:v>Neiva</x:v>
      </x:c>
      <x:c r="D204" s="11" t="str">
        <x:v>Tienda</x:v>
      </x:c>
      <x:c r="E204" s="11" t="str">
        <x:v>Bebidas</x:v>
      </x:c>
      <x:c r="F204" s="11" t="str">
        <x:v>Bebida fría</x:v>
      </x:c>
      <x:c r="G204" s="11" t="str">
        <x:v>C-0026</x:v>
      </x:c>
      <x:c r="H204" s="11" t="str">
        <x:v>Nuevo</x:v>
      </x:c>
      <x:c r="I204" s="11" t="n">
        <x:v>2</x:v>
      </x:c>
      <x:c r="J204" s="18" t="n">
        <x:v>6500</x:v>
      </x:c>
      <x:c r="K204" s="16" t="n">
        <x:v>0.05</x:v>
      </x:c>
      <x:c r="L204" s="18" t="n">
        <x:v>3500</x:v>
      </x:c>
      <x:c r="M204" s="11" t="str">
        <x:v>Efectivo</x:v>
      </x:c>
      <x:c r="N204" s="11" t="n">
        <x:v>0</x:v>
      </x:c>
      <x:c r="O204" s="11" t="str">
        <x:v>No aplica</x:v>
      </x:c>
      <x:c r="P204" s="20" t="n">
        <x:v>5</x:v>
      </x:c>
      <x:c r="Q204" s="18" t="n">
        <x:f>I204*J204</x:f>
        <x:v>13000</x:v>
      </x:c>
      <x:c r="R204" s="18" t="n">
        <x:f>Q204*K204</x:f>
        <x:v>650</x:v>
      </x:c>
      <x:c r="S204" s="18" t="n">
        <x:f>Q204-R204</x:f>
        <x:v>12350</x:v>
      </x:c>
      <x:c r="T204" s="18" t="n">
        <x:f>I204*L204</x:f>
        <x:v>7000</x:v>
      </x:c>
      <x:c r="U204" s="18" t="n">
        <x:f>S204-T204</x:f>
        <x:v>5350</x:v>
      </x:c>
    </x:row>
    <x:row r="205">
      <x:c r="A205" s="11" t="str">
        <x:v>V-0238</x:v>
      </x:c>
      <x:c r="B205" s="14" t="n">
        <x:v>46119</x:v>
      </x:c>
      <x:c r="C205" s="11" t="str">
        <x:v>Neiva</x:v>
      </x:c>
      <x:c r="D205" s="11" t="str">
        <x:v>Web</x:v>
      </x:c>
      <x:c r="E205" s="11" t="str">
        <x:v>Hogar</x:v>
      </x:c>
      <x:c r="F205" s="11" t="str">
        <x:v>Organizador</x:v>
      </x:c>
      <x:c r="G205" s="11" t="str">
        <x:v>C-0114</x:v>
      </x:c>
      <x:c r="H205" s="11" t="str">
        <x:v>Recurrente</x:v>
      </x:c>
      <x:c r="I205" s="11" t="n">
        <x:v>4</x:v>
      </x:c>
      <x:c r="J205" s="18" t="n">
        <x:v>33800</x:v>
      </x:c>
      <x:c r="K205" s="16" t="n">
        <x:v>0</x:v>
      </x:c>
      <x:c r="L205" s="18" t="n">
        <x:v>21400</x:v>
      </x:c>
      <x:c r="M205" s="11" t="str">
        <x:v>Billetera digital</x:v>
      </x:c>
      <x:c r="N205" s="11" t="n">
        <x:v>33</x:v>
      </x:c>
      <x:c r="O205" s="11" t="str">
        <x:v>A tiempo</x:v>
      </x:c>
      <x:c r="P205" s="20" t="n">
        <x:v>5</x:v>
      </x:c>
      <x:c r="Q205" s="18" t="n">
        <x:f>I205*J205</x:f>
        <x:v>135200</x:v>
      </x:c>
      <x:c r="R205" s="18" t="n">
        <x:f>Q205*K205</x:f>
        <x:v>0</x:v>
      </x:c>
      <x:c r="S205" s="18" t="n">
        <x:f>Q205-R205</x:f>
        <x:v>135200</x:v>
      </x:c>
      <x:c r="T205" s="18" t="n">
        <x:f>I205*L205</x:f>
        <x:v>85600</x:v>
      </x:c>
      <x:c r="U205" s="18" t="n">
        <x:f>S205-T205</x:f>
        <x:v>49600</x:v>
      </x:c>
    </x:row>
    <x:row r="206">
      <x:c r="A206" s="11" t="str">
        <x:v>V-0117</x:v>
      </x:c>
      <x:c r="B206" s="14" t="n">
        <x:v>46121</x:v>
      </x:c>
      <x:c r="C206" s="11" t="str">
        <x:v>Bogotá</x:v>
      </x:c>
      <x:c r="D206" s="11" t="str">
        <x:v>Web</x:v>
      </x:c>
      <x:c r="E206" s="11" t="str">
        <x:v>Hogar</x:v>
      </x:c>
      <x:c r="F206" s="11" t="str">
        <x:v>Kit limpieza</x:v>
      </x:c>
      <x:c r="G206" s="11" t="str">
        <x:v>C-0038</x:v>
      </x:c>
      <x:c r="H206" s="11" t="str">
        <x:v>Nuevo</x:v>
      </x:c>
      <x:c r="I206" s="11" t="n">
        <x:v>2</x:v>
      </x:c>
      <x:c r="J206" s="18" t="n">
        <x:v>24100</x:v>
      </x:c>
      <x:c r="K206" s="16" t="n">
        <x:v>0.05</x:v>
      </x:c>
      <x:c r="L206" s="18" t="n">
        <x:v>14200</x:v>
      </x:c>
      <x:c r="M206" s="11" t="str">
        <x:v>Billetera digital</x:v>
      </x:c>
      <x:c r="N206" s="11" t="n">
        <x:v>48</x:v>
      </x:c>
      <x:c r="O206" s="11" t="str">
        <x:v>A tiempo</x:v>
      </x:c>
      <x:c r="P206" s="20" t="n">
        <x:v>4</x:v>
      </x:c>
      <x:c r="Q206" s="18" t="n">
        <x:f>I206*J206</x:f>
        <x:v>48200</x:v>
      </x:c>
      <x:c r="R206" s="18" t="n">
        <x:f>Q206*K206</x:f>
        <x:v>2410</x:v>
      </x:c>
      <x:c r="S206" s="18" t="n">
        <x:f>Q206-R206</x:f>
        <x:v>45790</x:v>
      </x:c>
      <x:c r="T206" s="18" t="n">
        <x:f>I206*L206</x:f>
        <x:v>28400</x:v>
      </x:c>
      <x:c r="U206" s="18" t="n">
        <x:f>S206-T206</x:f>
        <x:v>17390</x:v>
      </x:c>
    </x:row>
    <x:row r="207">
      <x:c r="A207" s="11" t="str">
        <x:v>V-0370</x:v>
      </x:c>
      <x:c r="B207" s="14" t="n">
        <x:v>46121</x:v>
      </x:c>
      <x:c r="C207" s="11" t="str">
        <x:v>Medellín</x:v>
      </x:c>
      <x:c r="D207" s="11" t="str">
        <x:v>App</x:v>
      </x:c>
      <x:c r="E207" s="11" t="str">
        <x:v>Hogar</x:v>
      </x:c>
      <x:c r="F207" s="11" t="str">
        <x:v>Organizador</x:v>
      </x:c>
      <x:c r="G207" s="11" t="str">
        <x:v>C-0067</x:v>
      </x:c>
      <x:c r="H207" s="11" t="str">
        <x:v>Recurrente</x:v>
      </x:c>
      <x:c r="I207" s="11" t="n">
        <x:v>2</x:v>
      </x:c>
      <x:c r="J207" s="18" t="n">
        <x:v>33200</x:v>
      </x:c>
      <x:c r="K207" s="16" t="n">
        <x:v>0.1</x:v>
      </x:c>
      <x:c r="L207" s="18" t="n">
        <x:v>20900</x:v>
      </x:c>
      <x:c r="M207" s="11" t="str">
        <x:v>Billetera digital</x:v>
      </x:c>
      <x:c r="N207" s="11" t="n">
        <x:v>35</x:v>
      </x:c>
      <x:c r="O207" s="11" t="str">
        <x:v>A tiempo</x:v>
      </x:c>
      <x:c r="P207" s="20" t="n">
        <x:v>4</x:v>
      </x:c>
      <x:c r="Q207" s="18" t="n">
        <x:f>I207*J207</x:f>
        <x:v>66400</x:v>
      </x:c>
      <x:c r="R207" s="18" t="n">
        <x:f>Q207*K207</x:f>
        <x:v>6640</x:v>
      </x:c>
      <x:c r="S207" s="18" t="n">
        <x:f>Q207-R207</x:f>
        <x:v>59760</x:v>
      </x:c>
      <x:c r="T207" s="18" t="n">
        <x:f>I207*L207</x:f>
        <x:v>41800</x:v>
      </x:c>
      <x:c r="U207" s="18" t="n">
        <x:f>S207-T207</x:f>
        <x:v>17960</x:v>
      </x:c>
    </x:row>
    <x:row r="208">
      <x:c r="A208" s="11" t="str">
        <x:v>V-0063</x:v>
      </x:c>
      <x:c r="B208" s="14" t="n">
        <x:v>46122</x:v>
      </x:c>
      <x:c r="C208" s="11" t="str">
        <x:v>Ibagué</x:v>
      </x:c>
      <x:c r="D208" s="11" t="str">
        <x:v>Tienda</x:v>
      </x:c>
      <x:c r="E208" s="11" t="str">
        <x:v>Cuidado personal</x:v>
      </x:c>
      <x:c r="F208" s="11" t="str">
        <x:v>Kit cuidado</x:v>
      </x:c>
      <x:c r="G208" s="11" t="str">
        <x:v>C-0084</x:v>
      </x:c>
      <x:c r="H208" s="11" t="str">
        <x:v>Recurrente</x:v>
      </x:c>
      <x:c r="I208" s="11" t="n">
        <x:v>3</x:v>
      </x:c>
      <x:c r="J208" s="18" t="n">
        <x:v>40500</x:v>
      </x:c>
      <x:c r="K208" s="16" t="n">
        <x:v>0.1</x:v>
      </x:c>
      <x:c r="L208" s="18" t="n">
        <x:v>24600</x:v>
      </x:c>
      <x:c r="M208" s="11" t="str">
        <x:v>Efectivo</x:v>
      </x:c>
      <x:c r="N208" s="11" t="n">
        <x:v>0</x:v>
      </x:c>
      <x:c r="O208" s="11" t="str">
        <x:v>No aplica</x:v>
      </x:c>
      <x:c r="P208" s="20" t="n">
        <x:v>5</x:v>
      </x:c>
      <x:c r="Q208" s="18" t="n">
        <x:f>I208*J208</x:f>
        <x:v>121500</x:v>
      </x:c>
      <x:c r="R208" s="18" t="n">
        <x:f>Q208*K208</x:f>
        <x:v>12150</x:v>
      </x:c>
      <x:c r="S208" s="18" t="n">
        <x:f>Q208-R208</x:f>
        <x:v>109350</x:v>
      </x:c>
      <x:c r="T208" s="18" t="n">
        <x:f>I208*L208</x:f>
        <x:v>73800</x:v>
      </x:c>
      <x:c r="U208" s="18" t="n">
        <x:f>S208-T208</x:f>
        <x:v>35550</x:v>
      </x:c>
    </x:row>
    <x:row r="209">
      <x:c r="A209" s="11" t="str">
        <x:v>V-0084</x:v>
      </x:c>
      <x:c r="B209" s="14" t="n">
        <x:v>46122</x:v>
      </x:c>
      <x:c r="C209" s="11" t="str">
        <x:v>Cali</x:v>
      </x:c>
      <x:c r="D209" s="11" t="str">
        <x:v>Tienda</x:v>
      </x:c>
      <x:c r="E209" s="11" t="str">
        <x:v>Hogar</x:v>
      </x:c>
      <x:c r="F209" s="11" t="str">
        <x:v>Accesorio hogar</x:v>
      </x:c>
      <x:c r="G209" s="11" t="str">
        <x:v>C-0010</x:v>
      </x:c>
      <x:c r="H209" s="11" t="str">
        <x:v>Nuevo</x:v>
      </x:c>
      <x:c r="I209" s="11" t="n">
        <x:v>4</x:v>
      </x:c>
      <x:c r="J209" s="18" t="n">
        <x:v>29600</x:v>
      </x:c>
      <x:c r="K209" s="16" t="n">
        <x:v>0</x:v>
      </x:c>
      <x:c r="L209" s="18" t="n">
        <x:v>19300</x:v>
      </x:c>
      <x:c r="M209" s="11" t="str">
        <x:v>Efectivo</x:v>
      </x:c>
      <x:c r="N209" s="11" t="n">
        <x:v>0</x:v>
      </x:c>
      <x:c r="O209" s="11" t="str">
        <x:v>No aplica</x:v>
      </x:c>
      <x:c r="P209" s="20" t="n">
        <x:v>5</x:v>
      </x:c>
      <x:c r="Q209" s="18" t="n">
        <x:f>I209*J209</x:f>
        <x:v>118400</x:v>
      </x:c>
      <x:c r="R209" s="18" t="n">
        <x:f>Q209*K209</x:f>
        <x:v>0</x:v>
      </x:c>
      <x:c r="S209" s="18" t="n">
        <x:f>Q209-R209</x:f>
        <x:v>118400</x:v>
      </x:c>
      <x:c r="T209" s="18" t="n">
        <x:f>I209*L209</x:f>
        <x:v>77200</x:v>
      </x:c>
      <x:c r="U209" s="18" t="n">
        <x:f>S209-T209</x:f>
        <x:v>41200</x:v>
      </x:c>
    </x:row>
    <x:row r="210">
      <x:c r="A210" s="11" t="str">
        <x:v>V-0334</x:v>
      </x:c>
      <x:c r="B210" s="14" t="n">
        <x:v>46122</x:v>
      </x:c>
      <x:c r="C210" s="11" t="str">
        <x:v>Neiva</x:v>
      </x:c>
      <x:c r="D210" s="11" t="str">
        <x:v>Web</x:v>
      </x:c>
      <x:c r="E210" s="11" t="str">
        <x:v>Alimentos</x:v>
      </x:c>
      <x:c r="F210" s="11" t="str">
        <x:v>Snack saludable</x:v>
      </x:c>
      <x:c r="G210" s="11" t="str">
        <x:v>C-0084</x:v>
      </x:c>
      <x:c r="H210" s="11" t="str">
        <x:v>Recurrente</x:v>
      </x:c>
      <x:c r="I210" s="11" t="n">
        <x:v>1</x:v>
      </x:c>
      <x:c r="J210" s="18" t="n">
        <x:v>8800</x:v>
      </x:c>
      <x:c r="K210" s="16" t="n">
        <x:v>0.05</x:v>
      </x:c>
      <x:c r="L210" s="18" t="n">
        <x:v>5300</x:v>
      </x:c>
      <x:c r="M210" s="11" t="str">
        <x:v>Billetera digital</x:v>
      </x:c>
      <x:c r="N210" s="11" t="n">
        <x:v>38</x:v>
      </x:c>
      <x:c r="O210" s="11" t="str">
        <x:v>A tiempo</x:v>
      </x:c>
      <x:c r="P210" s="20" t="n">
        <x:v>5</x:v>
      </x:c>
      <x:c r="Q210" s="18" t="n">
        <x:f>I210*J210</x:f>
        <x:v>8800</x:v>
      </x:c>
      <x:c r="R210" s="18" t="n">
        <x:f>Q210*K210</x:f>
        <x:v>440</x:v>
      </x:c>
      <x:c r="S210" s="18" t="n">
        <x:f>Q210-R210</x:f>
        <x:v>8360</x:v>
      </x:c>
      <x:c r="T210" s="18" t="n">
        <x:f>I210*L210</x:f>
        <x:v>5300</x:v>
      </x:c>
      <x:c r="U210" s="18" t="n">
        <x:f>S210-T210</x:f>
        <x:v>3060</x:v>
      </x:c>
    </x:row>
    <x:row r="211">
      <x:c r="A211" s="11" t="str">
        <x:v>V-0336</x:v>
      </x:c>
      <x:c r="B211" s="14" t="n">
        <x:v>46122</x:v>
      </x:c>
      <x:c r="C211" s="11" t="str">
        <x:v>Medellín</x:v>
      </x:c>
      <x:c r="D211" s="11" t="str">
        <x:v>App</x:v>
      </x:c>
      <x:c r="E211" s="11" t="str">
        <x:v>Hogar</x:v>
      </x:c>
      <x:c r="F211" s="11" t="str">
        <x:v>Accesorio hogar</x:v>
      </x:c>
      <x:c r="G211" s="11" t="str">
        <x:v>C-0094</x:v>
      </x:c>
      <x:c r="H211" s="11" t="str">
        <x:v>Recurrente</x:v>
      </x:c>
      <x:c r="I211" s="11" t="n">
        <x:v>1</x:v>
      </x:c>
      <x:c r="J211" s="18" t="n">
        <x:v>27800</x:v>
      </x:c>
      <x:c r="K211" s="16" t="n">
        <x:v>0</x:v>
      </x:c>
      <x:c r="L211" s="18" t="n">
        <x:v>18000</x:v>
      </x:c>
      <x:c r="M211" s="11" t="str">
        <x:v>Transferencia</x:v>
      </x:c>
      <x:c r="N211" s="11" t="n">
        <x:v>50</x:v>
      </x:c>
      <x:c r="O211" s="11" t="str">
        <x:v>A tiempo</x:v>
      </x:c>
      <x:c r="P211" s="20" t="n">
        <x:v>5</x:v>
      </x:c>
      <x:c r="Q211" s="18" t="n">
        <x:f>I211*J211</x:f>
        <x:v>27800</x:v>
      </x:c>
      <x:c r="R211" s="18" t="n">
        <x:f>Q211*K211</x:f>
        <x:v>0</x:v>
      </x:c>
      <x:c r="S211" s="18" t="n">
        <x:f>Q211-R211</x:f>
        <x:v>27800</x:v>
      </x:c>
      <x:c r="T211" s="18" t="n">
        <x:f>I211*L211</x:f>
        <x:v>18000</x:v>
      </x:c>
      <x:c r="U211" s="18" t="n">
        <x:f>S211-T211</x:f>
        <x:v>9800</x:v>
      </x:c>
    </x:row>
    <x:row r="212">
      <x:c r="A212" s="11" t="str">
        <x:v>V-0066</x:v>
      </x:c>
      <x:c r="B212" s="14" t="n">
        <x:v>46123</x:v>
      </x:c>
      <x:c r="C212" s="11" t="str">
        <x:v>Neiva</x:v>
      </x:c>
      <x:c r="D212" s="11" t="str">
        <x:v>Tienda</x:v>
      </x:c>
      <x:c r="E212" s="11" t="str">
        <x:v>Cuidado personal</x:v>
      </x:c>
      <x:c r="F212" s="11" t="str">
        <x:v>Producto bienestar</x:v>
      </x:c>
      <x:c r="G212" s="11" t="str">
        <x:v>C-0083</x:v>
      </x:c>
      <x:c r="H212" s="11" t="str">
        <x:v>Recurrente</x:v>
      </x:c>
      <x:c r="I212" s="11" t="n">
        <x:v>2</x:v>
      </x:c>
      <x:c r="J212" s="18" t="n">
        <x:v>36600</x:v>
      </x:c>
      <x:c r="K212" s="16" t="n">
        <x:v>0.1</x:v>
      </x:c>
      <x:c r="L212" s="18" t="n">
        <x:v>22100</x:v>
      </x:c>
      <x:c r="M212" s="11" t="str">
        <x:v>Efectivo</x:v>
      </x:c>
      <x:c r="N212" s="11" t="n">
        <x:v>0</x:v>
      </x:c>
      <x:c r="O212" s="11" t="str">
        <x:v>No aplica</x:v>
      </x:c>
      <x:c r="P212" s="20" t="n">
        <x:v>4</x:v>
      </x:c>
      <x:c r="Q212" s="18" t="n">
        <x:f>I212*J212</x:f>
        <x:v>73200</x:v>
      </x:c>
      <x:c r="R212" s="18" t="n">
        <x:f>Q212*K212</x:f>
        <x:v>7320</x:v>
      </x:c>
      <x:c r="S212" s="18" t="n">
        <x:f>Q212-R212</x:f>
        <x:v>65880</x:v>
      </x:c>
      <x:c r="T212" s="18" t="n">
        <x:f>I212*L212</x:f>
        <x:v>44200</x:v>
      </x:c>
      <x:c r="U212" s="18" t="n">
        <x:f>S212-T212</x:f>
        <x:v>21680</x:v>
      </x:c>
    </x:row>
    <x:row r="213">
      <x:c r="A213" s="11" t="str">
        <x:v>V-0115</x:v>
      </x:c>
      <x:c r="B213" s="14" t="n">
        <x:v>46123</x:v>
      </x:c>
      <x:c r="C213" s="11" t="str">
        <x:v>Florencia</x:v>
      </x:c>
      <x:c r="D213" s="11" t="str">
        <x:v>App</x:v>
      </x:c>
      <x:c r="E213" s="11" t="str">
        <x:v>Alimentos</x:v>
      </x:c>
      <x:c r="F213" s="11" t="str">
        <x:v>Snack saludable</x:v>
      </x:c>
      <x:c r="G213" s="11" t="str">
        <x:v>C-0086</x:v>
      </x:c>
      <x:c r="H213" s="11" t="str">
        <x:v>Recurrente</x:v>
      </x:c>
      <x:c r="I213" s="11" t="n">
        <x:v>6</x:v>
      </x:c>
      <x:c r="J213" s="18" t="n">
        <x:v>9200</x:v>
      </x:c>
      <x:c r="K213" s="16" t="n">
        <x:v>0.05</x:v>
      </x:c>
      <x:c r="L213" s="18" t="n">
        <x:v>5100</x:v>
      </x:c>
      <x:c r="M213" s="11" t="str">
        <x:v>Billetera digital</x:v>
      </x:c>
      <x:c r="N213" s="11" t="n">
        <x:v>51</x:v>
      </x:c>
      <x:c r="O213" s="11" t="str">
        <x:v>A tiempo</x:v>
      </x:c>
      <x:c r="P213" s="20" t="n">
        <x:v>4</x:v>
      </x:c>
      <x:c r="Q213" s="18" t="n">
        <x:f>I213*J213</x:f>
        <x:v>55200</x:v>
      </x:c>
      <x:c r="R213" s="18" t="n">
        <x:f>Q213*K213</x:f>
        <x:v>2760</x:v>
      </x:c>
      <x:c r="S213" s="18" t="n">
        <x:f>Q213-R213</x:f>
        <x:v>52440</x:v>
      </x:c>
      <x:c r="T213" s="18" t="n">
        <x:f>I213*L213</x:f>
        <x:v>30600</x:v>
      </x:c>
      <x:c r="U213" s="18" t="n">
        <x:f>S213-T213</x:f>
        <x:v>21840</x:v>
      </x:c>
    </x:row>
    <x:row r="214">
      <x:c r="A214" s="11" t="str">
        <x:v>V-0344</x:v>
      </x:c>
      <x:c r="B214" s="14" t="n">
        <x:v>46124</x:v>
      </x:c>
      <x:c r="C214" s="11" t="str">
        <x:v>Bogotá</x:v>
      </x:c>
      <x:c r="D214" s="11" t="str">
        <x:v>Web</x:v>
      </x:c>
      <x:c r="E214" s="11" t="str">
        <x:v>Alimentos</x:v>
      </x:c>
      <x:c r="F214" s="11" t="str">
        <x:v>Snack saludable</x:v>
      </x:c>
      <x:c r="G214" s="11" t="str">
        <x:v>C-0077</x:v>
      </x:c>
      <x:c r="H214" s="11" t="str">
        <x:v>Recurrente</x:v>
      </x:c>
      <x:c r="I214" s="11" t="n">
        <x:v>3</x:v>
      </x:c>
      <x:c r="J214" s="18" t="n">
        <x:v>8200</x:v>
      </x:c>
      <x:c r="K214" s="16" t="n">
        <x:v>0.15</x:v>
      </x:c>
      <x:c r="L214" s="18" t="n">
        <x:v>4800</x:v>
      </x:c>
      <x:c r="M214" s="11" t="str">
        <x:v>Billetera digital</x:v>
      </x:c>
      <x:c r="N214" s="11" t="n">
        <x:v>70</x:v>
      </x:c>
      <x:c r="O214" s="11" t="str">
        <x:v>Tardía</x:v>
      </x:c>
      <x:c r="P214" s="20" t="n">
        <x:v>5</x:v>
      </x:c>
      <x:c r="Q214" s="18" t="n">
        <x:f>I214*J214</x:f>
        <x:v>24600</x:v>
      </x:c>
      <x:c r="R214" s="18" t="n">
        <x:f>Q214*K214</x:f>
        <x:v>3690</x:v>
      </x:c>
      <x:c r="S214" s="18" t="n">
        <x:f>Q214-R214</x:f>
        <x:v>20910</x:v>
      </x:c>
      <x:c r="T214" s="18" t="n">
        <x:f>I214*L214</x:f>
        <x:v>14400</x:v>
      </x:c>
      <x:c r="U214" s="18" t="n">
        <x:f>S214-T214</x:f>
        <x:v>6510</x:v>
      </x:c>
    </x:row>
    <x:row r="215">
      <x:c r="A215" s="11" t="str">
        <x:v>V-0411</x:v>
      </x:c>
      <x:c r="B215" s="14" t="n">
        <x:v>46125</x:v>
      </x:c>
      <x:c r="C215" s="11" t="str">
        <x:v>Florencia</x:v>
      </x:c>
      <x:c r="D215" s="11" t="str">
        <x:v>Web</x:v>
      </x:c>
      <x:c r="E215" s="11" t="str">
        <x:v>Hogar</x:v>
      </x:c>
      <x:c r="F215" s="11" t="str">
        <x:v>Accesorio hogar</x:v>
      </x:c>
      <x:c r="G215" s="11" t="str">
        <x:v>C-0098</x:v>
      </x:c>
      <x:c r="H215" s="11" t="str">
        <x:v>Recurrente</x:v>
      </x:c>
      <x:c r="I215" s="11" t="n">
        <x:v>2</x:v>
      </x:c>
      <x:c r="J215" s="18" t="n">
        <x:v>31300</x:v>
      </x:c>
      <x:c r="K215" s="16" t="n">
        <x:v>0.1</x:v>
      </x:c>
      <x:c r="L215" s="18" t="n">
        <x:v>19400</x:v>
      </x:c>
      <x:c r="M215" s="11" t="str">
        <x:v>Tarjeta</x:v>
      </x:c>
      <x:c r="N215" s="11" t="n">
        <x:v>87</x:v>
      </x:c>
      <x:c r="O215" s="11" t="str">
        <x:v>Tardía</x:v>
      </x:c>
      <x:c r="P215" s="20" t="n">
        <x:v>5</x:v>
      </x:c>
      <x:c r="Q215" s="18" t="n">
        <x:f>I215*J215</x:f>
        <x:v>62600</x:v>
      </x:c>
      <x:c r="R215" s="18" t="n">
        <x:f>Q215*K215</x:f>
        <x:v>6260</x:v>
      </x:c>
      <x:c r="S215" s="18" t="n">
        <x:f>Q215-R215</x:f>
        <x:v>56340</x:v>
      </x:c>
      <x:c r="T215" s="18" t="n">
        <x:f>I215*L215</x:f>
        <x:v>38800</x:v>
      </x:c>
      <x:c r="U215" s="18" t="n">
        <x:f>S215-T215</x:f>
        <x:v>17540</x:v>
      </x:c>
    </x:row>
    <x:row r="216">
      <x:c r="A216" s="11" t="str">
        <x:v>V-0214</x:v>
      </x:c>
      <x:c r="B216" s="14" t="n">
        <x:v>46126</x:v>
      </x:c>
      <x:c r="C216" s="11" t="str">
        <x:v>Medellín</x:v>
      </x:c>
      <x:c r="D216" s="11" t="str">
        <x:v>Tienda</x:v>
      </x:c>
      <x:c r="E216" s="11" t="str">
        <x:v>Alimentos</x:v>
      </x:c>
      <x:c r="F216" s="11" t="str">
        <x:v>Producto gourmet</x:v>
      </x:c>
      <x:c r="G216" s="11" t="str">
        <x:v>C-0116</x:v>
      </x:c>
      <x:c r="H216" s="11" t="str">
        <x:v>Recurrente</x:v>
      </x:c>
      <x:c r="I216" s="11" t="n">
        <x:v>1</x:v>
      </x:c>
      <x:c r="J216" s="18" t="n">
        <x:v>33900</x:v>
      </x:c>
      <x:c r="K216" s="16" t="n">
        <x:v>0.1</x:v>
      </x:c>
      <x:c r="L216" s="18" t="n">
        <x:v>20900</x:v>
      </x:c>
      <x:c r="M216" s="11" t="str">
        <x:v>Tarjeta</x:v>
      </x:c>
      <x:c r="N216" s="11" t="n">
        <x:v>0</x:v>
      </x:c>
      <x:c r="O216" s="11" t="str">
        <x:v>No aplica</x:v>
      </x:c>
      <x:c r="P216" s="20" t="n">
        <x:v>3</x:v>
      </x:c>
      <x:c r="Q216" s="18" t="n">
        <x:f>I216*J216</x:f>
        <x:v>33900</x:v>
      </x:c>
      <x:c r="R216" s="18" t="n">
        <x:f>Q216*K216</x:f>
        <x:v>3390</x:v>
      </x:c>
      <x:c r="S216" s="18" t="n">
        <x:f>Q216-R216</x:f>
        <x:v>30510</x:v>
      </x:c>
      <x:c r="T216" s="18" t="n">
        <x:f>I216*L216</x:f>
        <x:v>20900</x:v>
      </x:c>
      <x:c r="U216" s="18" t="n">
        <x:f>S216-T216</x:f>
        <x:v>9610</x:v>
      </x:c>
    </x:row>
    <x:row r="217">
      <x:c r="A217" s="11" t="str">
        <x:v>V-0008</x:v>
      </x:c>
      <x:c r="B217" s="14" t="n">
        <x:v>46127</x:v>
      </x:c>
      <x:c r="C217" s="11" t="str">
        <x:v>Ibagué</x:v>
      </x:c>
      <x:c r="D217" s="11" t="str">
        <x:v>Web</x:v>
      </x:c>
      <x:c r="E217" s="11" t="str">
        <x:v>Bebidas</x:v>
      </x:c>
      <x:c r="F217" s="11" t="str">
        <x:v>Bebida premium</x:v>
      </x:c>
      <x:c r="G217" s="11" t="str">
        <x:v>C-0105</x:v>
      </x:c>
      <x:c r="H217" s="11" t="str">
        <x:v>Nuevo</x:v>
      </x:c>
      <x:c r="I217" s="11" t="n">
        <x:v>5</x:v>
      </x:c>
      <x:c r="J217" s="18" t="n">
        <x:v>15000</x:v>
      </x:c>
      <x:c r="K217" s="16" t="n">
        <x:v>0.1</x:v>
      </x:c>
      <x:c r="L217" s="18" t="n">
        <x:v>8900</x:v>
      </x:c>
      <x:c r="M217" s="11" t="str">
        <x:v>Transferencia</x:v>
      </x:c>
      <x:c r="N217" s="11" t="n">
        <x:v>40</x:v>
      </x:c>
      <x:c r="O217" s="11" t="str">
        <x:v>A tiempo</x:v>
      </x:c>
      <x:c r="P217" s="20" t="n">
        <x:v>5</x:v>
      </x:c>
      <x:c r="Q217" s="18" t="n">
        <x:f>I217*J217</x:f>
        <x:v>75000</x:v>
      </x:c>
      <x:c r="R217" s="18" t="n">
        <x:f>Q217*K217</x:f>
        <x:v>7500</x:v>
      </x:c>
      <x:c r="S217" s="18" t="n">
        <x:f>Q217-R217</x:f>
        <x:v>67500</x:v>
      </x:c>
      <x:c r="T217" s="18" t="n">
        <x:f>I217*L217</x:f>
        <x:v>44500</x:v>
      </x:c>
      <x:c r="U217" s="18" t="n">
        <x:f>S217-T217</x:f>
        <x:v>23000</x:v>
      </x:c>
    </x:row>
    <x:row r="218">
      <x:c r="A218" s="11" t="str">
        <x:v>V-0418</x:v>
      </x:c>
      <x:c r="B218" s="14" t="n">
        <x:v>46127</x:v>
      </x:c>
      <x:c r="C218" s="11" t="str">
        <x:v>Bogotá</x:v>
      </x:c>
      <x:c r="D218" s="11" t="str">
        <x:v>Web</x:v>
      </x:c>
      <x:c r="E218" s="11" t="str">
        <x:v>Hogar</x:v>
      </x:c>
      <x:c r="F218" s="11" t="str">
        <x:v>Kit limpieza</x:v>
      </x:c>
      <x:c r="G218" s="11" t="str">
        <x:v>C-0083</x:v>
      </x:c>
      <x:c r="H218" s="11" t="str">
        <x:v>Recurrente</x:v>
      </x:c>
      <x:c r="I218" s="11" t="n">
        <x:v>1</x:v>
      </x:c>
      <x:c r="J218" s="18" t="n">
        <x:v>23500</x:v>
      </x:c>
      <x:c r="K218" s="16" t="n">
        <x:v>0</x:v>
      </x:c>
      <x:c r="L218" s="18" t="n">
        <x:v>13300</x:v>
      </x:c>
      <x:c r="M218" s="11" t="str">
        <x:v>Transferencia</x:v>
      </x:c>
      <x:c r="N218" s="11" t="n">
        <x:v>33</x:v>
      </x:c>
      <x:c r="O218" s="11" t="str">
        <x:v>A tiempo</x:v>
      </x:c>
      <x:c r="P218" s="20" t="n">
        <x:v>4</x:v>
      </x:c>
      <x:c r="Q218" s="18" t="n">
        <x:f>I218*J218</x:f>
        <x:v>23500</x:v>
      </x:c>
      <x:c r="R218" s="18" t="n">
        <x:f>Q218*K218</x:f>
        <x:v>0</x:v>
      </x:c>
      <x:c r="S218" s="18" t="n">
        <x:f>Q218-R218</x:f>
        <x:v>23500</x:v>
      </x:c>
      <x:c r="T218" s="18" t="n">
        <x:f>I218*L218</x:f>
        <x:v>13300</x:v>
      </x:c>
      <x:c r="U218" s="18" t="n">
        <x:f>S218-T218</x:f>
        <x:v>10200</x:v>
      </x:c>
    </x:row>
    <x:row r="219">
      <x:c r="A219" s="11" t="str">
        <x:v>V-0381</x:v>
      </x:c>
      <x:c r="B219" s="14" t="n">
        <x:v>46128</x:v>
      </x:c>
      <x:c r="C219" s="11" t="str">
        <x:v>Bogotá</x:v>
      </x:c>
      <x:c r="D219" s="11" t="str">
        <x:v>App</x:v>
      </x:c>
      <x:c r="E219" s="11" t="str">
        <x:v>Bebidas</x:v>
      </x:c>
      <x:c r="F219" s="11" t="str">
        <x:v>Bebida premium</x:v>
      </x:c>
      <x:c r="G219" s="11" t="str">
        <x:v>C-0108</x:v>
      </x:c>
      <x:c r="H219" s="11" t="str">
        <x:v>Nuevo</x:v>
      </x:c>
      <x:c r="I219" s="11" t="n">
        <x:v>2</x:v>
      </x:c>
      <x:c r="J219" s="18" t="n">
        <x:v>13900</x:v>
      </x:c>
      <x:c r="K219" s="16" t="n">
        <x:v>0.1</x:v>
      </x:c>
      <x:c r="L219" s="18" t="n">
        <x:v>7900</x:v>
      </x:c>
      <x:c r="M219" s="11" t="str">
        <x:v>Billetera digital</x:v>
      </x:c>
      <x:c r="N219" s="11" t="n">
        <x:v>56</x:v>
      </x:c>
      <x:c r="O219" s="11" t="str">
        <x:v>A tiempo</x:v>
      </x:c>
      <x:c r="P219" s="20" t="n">
        <x:v>5</x:v>
      </x:c>
      <x:c r="Q219" s="18" t="n">
        <x:f>I219*J219</x:f>
        <x:v>27800</x:v>
      </x:c>
      <x:c r="R219" s="18" t="n">
        <x:f>Q219*K219</x:f>
        <x:v>2780</x:v>
      </x:c>
      <x:c r="S219" s="18" t="n">
        <x:f>Q219-R219</x:f>
        <x:v>25020</x:v>
      </x:c>
      <x:c r="T219" s="18" t="n">
        <x:f>I219*L219</x:f>
        <x:v>15800</x:v>
      </x:c>
      <x:c r="U219" s="18" t="n">
        <x:f>S219-T219</x:f>
        <x:v>9220</x:v>
      </x:c>
    </x:row>
    <x:row r="220">
      <x:c r="A220" s="11" t="str">
        <x:v>V-0413</x:v>
      </x:c>
      <x:c r="B220" s="14" t="n">
        <x:v>46129</x:v>
      </x:c>
      <x:c r="C220" s="11" t="str">
        <x:v>Neiva</x:v>
      </x:c>
      <x:c r="D220" s="11" t="str">
        <x:v>Web</x:v>
      </x:c>
      <x:c r="E220" s="11" t="str">
        <x:v>Hogar</x:v>
      </x:c>
      <x:c r="F220" s="11" t="str">
        <x:v>Accesorio hogar</x:v>
      </x:c>
      <x:c r="G220" s="11" t="str">
        <x:v>C-0009</x:v>
      </x:c>
      <x:c r="H220" s="11" t="str">
        <x:v>Recurrente</x:v>
      </x:c>
      <x:c r="I220" s="11" t="n">
        <x:v>5</x:v>
      </x:c>
      <x:c r="J220" s="18" t="n">
        <x:v>30800</x:v>
      </x:c>
      <x:c r="K220" s="16" t="n">
        <x:v>0.2</x:v>
      </x:c>
      <x:c r="L220" s="18" t="n">
        <x:v>20200</x:v>
      </x:c>
      <x:c r="M220" s="11" t="str">
        <x:v>Transferencia</x:v>
      </x:c>
      <x:c r="N220" s="11" t="n">
        <x:v>51</x:v>
      </x:c>
      <x:c r="O220" s="11" t="str">
        <x:v>A tiempo</x:v>
      </x:c>
      <x:c r="P220" s="20" t="n">
        <x:v>4</x:v>
      </x:c>
      <x:c r="Q220" s="18" t="n">
        <x:f>I220*J220</x:f>
        <x:v>154000</x:v>
      </x:c>
      <x:c r="R220" s="18" t="n">
        <x:f>Q220*K220</x:f>
        <x:v>30800</x:v>
      </x:c>
      <x:c r="S220" s="18" t="n">
        <x:f>Q220-R220</x:f>
        <x:v>123200</x:v>
      </x:c>
      <x:c r="T220" s="18" t="n">
        <x:f>I220*L220</x:f>
        <x:v>101000</x:v>
      </x:c>
      <x:c r="U220" s="18" t="n">
        <x:f>S220-T220</x:f>
        <x:v>22200</x:v>
      </x:c>
    </x:row>
    <x:row r="221">
      <x:c r="A221" s="11" t="str">
        <x:v>V-0164</x:v>
      </x:c>
      <x:c r="B221" s="14" t="n">
        <x:v>46130</x:v>
      </x:c>
      <x:c r="C221" s="11" t="str">
        <x:v>Ibagué</x:v>
      </x:c>
      <x:c r="D221" s="11" t="str">
        <x:v>App</x:v>
      </x:c>
      <x:c r="E221" s="11" t="str">
        <x:v>Alimentos</x:v>
      </x:c>
      <x:c r="F221" s="11" t="str">
        <x:v>Snack saludable</x:v>
      </x:c>
      <x:c r="G221" s="11" t="str">
        <x:v>C-0065</x:v>
      </x:c>
      <x:c r="H221" s="11" t="str">
        <x:v>Recurrente</x:v>
      </x:c>
      <x:c r="I221" s="11" t="n">
        <x:v>2</x:v>
      </x:c>
      <x:c r="J221" s="18" t="n">
        <x:v>9000</x:v>
      </x:c>
      <x:c r="K221" s="16" t="n">
        <x:v>0</x:v>
      </x:c>
      <x:c r="L221" s="18" t="n">
        <x:v>5000</x:v>
      </x:c>
      <x:c r="M221" s="11" t="str">
        <x:v>Tarjeta</x:v>
      </x:c>
      <x:c r="N221" s="11" t="n">
        <x:v>41</x:v>
      </x:c>
      <x:c r="O221" s="11" t="str">
        <x:v>A tiempo</x:v>
      </x:c>
      <x:c r="P221" s="20" t="n">
        <x:v>5</x:v>
      </x:c>
      <x:c r="Q221" s="18" t="n">
        <x:f>I221*J221</x:f>
        <x:v>18000</x:v>
      </x:c>
      <x:c r="R221" s="18" t="n">
        <x:f>Q221*K221</x:f>
        <x:v>0</x:v>
      </x:c>
      <x:c r="S221" s="18" t="n">
        <x:f>Q221-R221</x:f>
        <x:v>18000</x:v>
      </x:c>
      <x:c r="T221" s="18" t="n">
        <x:f>I221*L221</x:f>
        <x:v>10000</x:v>
      </x:c>
      <x:c r="U221" s="18" t="n">
        <x:f>S221-T221</x:f>
        <x:v>8000</x:v>
      </x:c>
    </x:row>
    <x:row r="222">
      <x:c r="A222" s="11" t="str">
        <x:v>V-0330</x:v>
      </x:c>
      <x:c r="B222" s="14" t="n">
        <x:v>46130</x:v>
      </x:c>
      <x:c r="C222" s="11" t="str">
        <x:v>Cali</x:v>
      </x:c>
      <x:c r="D222" s="11" t="str">
        <x:v>Web</x:v>
      </x:c>
      <x:c r="E222" s="11" t="str">
        <x:v>Cuidado personal</x:v>
      </x:c>
      <x:c r="F222" s="11" t="str">
        <x:v>Accesorio personal</x:v>
      </x:c>
      <x:c r="G222" s="11" t="str">
        <x:v>C-0056</x:v>
      </x:c>
      <x:c r="H222" s="11" t="str">
        <x:v>Recurrente</x:v>
      </x:c>
      <x:c r="I222" s="11" t="n">
        <x:v>2</x:v>
      </x:c>
      <x:c r="J222" s="18" t="n">
        <x:v>18700</x:v>
      </x:c>
      <x:c r="K222" s="16" t="n">
        <x:v>0</x:v>
      </x:c>
      <x:c r="L222" s="18" t="n">
        <x:v>10200</x:v>
      </x:c>
      <x:c r="M222" s="11" t="str">
        <x:v>Billetera digital</x:v>
      </x:c>
      <x:c r="N222" s="11" t="n">
        <x:v>50</x:v>
      </x:c>
      <x:c r="O222" s="11" t="str">
        <x:v>A tiempo</x:v>
      </x:c>
      <x:c r="P222" s="20" t="n">
        <x:v>2</x:v>
      </x:c>
      <x:c r="Q222" s="18" t="n">
        <x:f>I222*J222</x:f>
        <x:v>37400</x:v>
      </x:c>
      <x:c r="R222" s="18" t="n">
        <x:f>Q222*K222</x:f>
        <x:v>0</x:v>
      </x:c>
      <x:c r="S222" s="18" t="n">
        <x:f>Q222-R222</x:f>
        <x:v>37400</x:v>
      </x:c>
      <x:c r="T222" s="18" t="n">
        <x:f>I222*L222</x:f>
        <x:v>20400</x:v>
      </x:c>
      <x:c r="U222" s="18" t="n">
        <x:f>S222-T222</x:f>
        <x:v>17000</x:v>
      </x:c>
    </x:row>
    <x:row r="223">
      <x:c r="A223" s="11" t="str">
        <x:v>V-0314</x:v>
      </x:c>
      <x:c r="B223" s="14" t="n">
        <x:v>46131</x:v>
      </x:c>
      <x:c r="C223" s="11" t="str">
        <x:v>Medellín</x:v>
      </x:c>
      <x:c r="D223" s="11" t="str">
        <x:v>App</x:v>
      </x:c>
      <x:c r="E223" s="11" t="str">
        <x:v>Alimentos</x:v>
      </x:c>
      <x:c r="F223" s="11" t="str">
        <x:v>Snack saludable</x:v>
      </x:c>
      <x:c r="G223" s="11" t="str">
        <x:v>C-0073</x:v>
      </x:c>
      <x:c r="H223" s="11" t="str">
        <x:v>Recurrente</x:v>
      </x:c>
      <x:c r="I223" s="11" t="n">
        <x:v>3</x:v>
      </x:c>
      <x:c r="J223" s="18" t="n">
        <x:v>8800</x:v>
      </x:c>
      <x:c r="K223" s="16" t="n">
        <x:v>0.05</x:v>
      </x:c>
      <x:c r="L223" s="18" t="n">
        <x:v>5200</x:v>
      </x:c>
      <x:c r="M223" s="11" t="str">
        <x:v>Billetera digital</x:v>
      </x:c>
      <x:c r="N223" s="11" t="n">
        <x:v>44</x:v>
      </x:c>
      <x:c r="O223" s="11" t="str">
        <x:v>A tiempo</x:v>
      </x:c>
      <x:c r="P223" s="20" t="n">
        <x:v>5</x:v>
      </x:c>
      <x:c r="Q223" s="18" t="n">
        <x:f>I223*J223</x:f>
        <x:v>26400</x:v>
      </x:c>
      <x:c r="R223" s="18" t="n">
        <x:f>Q223*K223</x:f>
        <x:v>1320</x:v>
      </x:c>
      <x:c r="S223" s="18" t="n">
        <x:f>Q223-R223</x:f>
        <x:v>25080</x:v>
      </x:c>
      <x:c r="T223" s="18" t="n">
        <x:f>I223*L223</x:f>
        <x:v>15600</x:v>
      </x:c>
      <x:c r="U223" s="18" t="n">
        <x:f>S223-T223</x:f>
        <x:v>9480</x:v>
      </x:c>
    </x:row>
    <x:row r="224">
      <x:c r="A224" s="11" t="str">
        <x:v>V-0097</x:v>
      </x:c>
      <x:c r="B224" s="14" t="n">
        <x:v>46132</x:v>
      </x:c>
      <x:c r="C224" s="11" t="str">
        <x:v>Ibagué</x:v>
      </x:c>
      <x:c r="D224" s="11" t="str">
        <x:v>Tienda</x:v>
      </x:c>
      <x:c r="E224" s="11" t="str">
        <x:v>Cuidado personal</x:v>
      </x:c>
      <x:c r="F224" s="11" t="str">
        <x:v>Accesorio personal</x:v>
      </x:c>
      <x:c r="G224" s="11" t="str">
        <x:v>C-0077</x:v>
      </x:c>
      <x:c r="H224" s="11" t="str">
        <x:v>Nuevo</x:v>
      </x:c>
      <x:c r="I224" s="11" t="n">
        <x:v>6</x:v>
      </x:c>
      <x:c r="J224" s="18" t="n">
        <x:v>19100</x:v>
      </x:c>
      <x:c r="K224" s="16" t="n">
        <x:v>0.05</x:v>
      </x:c>
      <x:c r="L224" s="18" t="n">
        <x:v>10700</x:v>
      </x:c>
      <x:c r="M224" s="11" t="str">
        <x:v>Tarjeta</x:v>
      </x:c>
      <x:c r="N224" s="11" t="n">
        <x:v>0</x:v>
      </x:c>
      <x:c r="O224" s="11" t="str">
        <x:v>No aplica</x:v>
      </x:c>
      <x:c r="P224" s="20" t="n">
        <x:v>5</x:v>
      </x:c>
      <x:c r="Q224" s="18" t="n">
        <x:f>I224*J224</x:f>
        <x:v>114600</x:v>
      </x:c>
      <x:c r="R224" s="18" t="n">
        <x:f>Q224*K224</x:f>
        <x:v>5730</x:v>
      </x:c>
      <x:c r="S224" s="18" t="n">
        <x:f>Q224-R224</x:f>
        <x:v>108870</x:v>
      </x:c>
      <x:c r="T224" s="18" t="n">
        <x:f>I224*L224</x:f>
        <x:v>64200</x:v>
      </x:c>
      <x:c r="U224" s="18" t="n">
        <x:f>S224-T224</x:f>
        <x:v>44670</x:v>
      </x:c>
    </x:row>
    <x:row r="225">
      <x:c r="A225" s="11" t="str">
        <x:v>V-0036</x:v>
      </x:c>
      <x:c r="B225" s="14" t="n">
        <x:v>46134</x:v>
      </x:c>
      <x:c r="C225" s="11" t="str">
        <x:v>Neiva</x:v>
      </x:c>
      <x:c r="D225" s="11" t="str">
        <x:v>Tienda</x:v>
      </x:c>
      <x:c r="E225" s="11" t="str">
        <x:v>Hogar</x:v>
      </x:c>
      <x:c r="F225" s="11" t="str">
        <x:v>Accesorio hogar</x:v>
      </x:c>
      <x:c r="G225" s="11" t="str">
        <x:v>C-0030</x:v>
      </x:c>
      <x:c r="H225" s="11" t="str">
        <x:v>Nuevo</x:v>
      </x:c>
      <x:c r="I225" s="11" t="n">
        <x:v>1</x:v>
      </x:c>
      <x:c r="J225" s="18" t="n">
        <x:v>30900</x:v>
      </x:c>
      <x:c r="K225" s="16" t="n">
        <x:v>0.05</x:v>
      </x:c>
      <x:c r="L225" s="18" t="n">
        <x:v>18900</x:v>
      </x:c>
      <x:c r="M225" s="11" t="str">
        <x:v>Efectivo</x:v>
      </x:c>
      <x:c r="N225" s="11" t="n">
        <x:v>0</x:v>
      </x:c>
      <x:c r="O225" s="11" t="str">
        <x:v>No aplica</x:v>
      </x:c>
      <x:c r="P225" s="20" t="n">
        <x:v>3</x:v>
      </x:c>
      <x:c r="Q225" s="18" t="n">
        <x:f>I225*J225</x:f>
        <x:v>30900</x:v>
      </x:c>
      <x:c r="R225" s="18" t="n">
        <x:f>Q225*K225</x:f>
        <x:v>1545</x:v>
      </x:c>
      <x:c r="S225" s="18" t="n">
        <x:f>Q225-R225</x:f>
        <x:v>29355</x:v>
      </x:c>
      <x:c r="T225" s="18" t="n">
        <x:f>I225*L225</x:f>
        <x:v>18900</x:v>
      </x:c>
      <x:c r="U225" s="18" t="n">
        <x:f>S225-T225</x:f>
        <x:v>10455</x:v>
      </x:c>
    </x:row>
    <x:row r="226">
      <x:c r="A226" s="11" t="str">
        <x:v>V-0307</x:v>
      </x:c>
      <x:c r="B226" s="14" t="n">
        <x:v>46134</x:v>
      </x:c>
      <x:c r="C226" s="11" t="str">
        <x:v>Medellín</x:v>
      </x:c>
      <x:c r="D226" s="11" t="str">
        <x:v>App</x:v>
      </x:c>
      <x:c r="E226" s="11" t="str">
        <x:v>Cuidado personal</x:v>
      </x:c>
      <x:c r="F226" s="11" t="str">
        <x:v>Producto bienestar</x:v>
      </x:c>
      <x:c r="G226" s="11" t="str">
        <x:v>C-0082</x:v>
      </x:c>
      <x:c r="H226" s="11" t="str">
        <x:v>Nuevo</x:v>
      </x:c>
      <x:c r="I226" s="11" t="n">
        <x:v>1</x:v>
      </x:c>
      <x:c r="J226" s="18" t="n">
        <x:v>32700</x:v>
      </x:c>
      <x:c r="K226" s="16" t="n">
        <x:v>0.05</x:v>
      </x:c>
      <x:c r="L226" s="18" t="n">
        <x:v>19100</x:v>
      </x:c>
      <x:c r="M226" s="11" t="str">
        <x:v>Tarjeta</x:v>
      </x:c>
      <x:c r="N226" s="11" t="n">
        <x:v>59</x:v>
      </x:c>
      <x:c r="O226" s="11" t="str">
        <x:v>A tiempo</x:v>
      </x:c>
      <x:c r="P226" s="20" t="n">
        <x:v>5</x:v>
      </x:c>
      <x:c r="Q226" s="18" t="n">
        <x:f>I226*J226</x:f>
        <x:v>32700</x:v>
      </x:c>
      <x:c r="R226" s="18" t="n">
        <x:f>Q226*K226</x:f>
        <x:v>1635</x:v>
      </x:c>
      <x:c r="S226" s="18" t="n">
        <x:f>Q226-R226</x:f>
        <x:v>31065</x:v>
      </x:c>
      <x:c r="T226" s="18" t="n">
        <x:f>I226*L226</x:f>
        <x:v>19100</x:v>
      </x:c>
      <x:c r="U226" s="18" t="n">
        <x:f>S226-T226</x:f>
        <x:v>11965</x:v>
      </x:c>
    </x:row>
    <x:row r="227">
      <x:c r="A227" s="11" t="str">
        <x:v>V-0181</x:v>
      </x:c>
      <x:c r="B227" s="14" t="n">
        <x:v>46135</x:v>
      </x:c>
      <x:c r="C227" s="11" t="str">
        <x:v>Medellín</x:v>
      </x:c>
      <x:c r="D227" s="11" t="str">
        <x:v>Web</x:v>
      </x:c>
      <x:c r="E227" s="11" t="str">
        <x:v>Cuidado personal</x:v>
      </x:c>
      <x:c r="F227" s="11" t="str">
        <x:v>Kit cuidado</x:v>
      </x:c>
      <x:c r="G227" s="11" t="str">
        <x:v>C-0107</x:v>
      </x:c>
      <x:c r="H227" s="11" t="str">
        <x:v>Recurrente</x:v>
      </x:c>
      <x:c r="I227" s="11" t="n">
        <x:v>2</x:v>
      </x:c>
      <x:c r="J227" s="18" t="n">
        <x:v>45800</x:v>
      </x:c>
      <x:c r="K227" s="16" t="n">
        <x:v>0.2</x:v>
      </x:c>
      <x:c r="L227" s="18" t="n">
        <x:v>28800</x:v>
      </x:c>
      <x:c r="M227" s="11" t="str">
        <x:v>Billetera digital</x:v>
      </x:c>
      <x:c r="N227" s="11" t="n">
        <x:v>63</x:v>
      </x:c>
      <x:c r="O227" s="11" t="str">
        <x:v>Tardía</x:v>
      </x:c>
      <x:c r="P227" s="20" t="n">
        <x:v>4</x:v>
      </x:c>
      <x:c r="Q227" s="18" t="n">
        <x:f>I227*J227</x:f>
        <x:v>91600</x:v>
      </x:c>
      <x:c r="R227" s="18" t="n">
        <x:f>Q227*K227</x:f>
        <x:v>18320</x:v>
      </x:c>
      <x:c r="S227" s="18" t="n">
        <x:f>Q227-R227</x:f>
        <x:v>73280</x:v>
      </x:c>
      <x:c r="T227" s="18" t="n">
        <x:f>I227*L227</x:f>
        <x:v>57600</x:v>
      </x:c>
      <x:c r="U227" s="18" t="n">
        <x:f>S227-T227</x:f>
        <x:v>15680</x:v>
      </x:c>
    </x:row>
    <x:row r="228">
      <x:c r="A228" s="11" t="str">
        <x:v>V-0305</x:v>
      </x:c>
      <x:c r="B228" s="14" t="n">
        <x:v>46135</x:v>
      </x:c>
      <x:c r="C228" s="11" t="str">
        <x:v>Cali</x:v>
      </x:c>
      <x:c r="D228" s="11" t="str">
        <x:v>Web</x:v>
      </x:c>
      <x:c r="E228" s="11" t="str">
        <x:v>Bebidas</x:v>
      </x:c>
      <x:c r="F228" s="11" t="str">
        <x:v>Bebida premium</x:v>
      </x:c>
      <x:c r="G228" s="11" t="str">
        <x:v>C-0008</x:v>
      </x:c>
      <x:c r="H228" s="11" t="str">
        <x:v>Nuevo</x:v>
      </x:c>
      <x:c r="I228" s="11" t="n">
        <x:v>1</x:v>
      </x:c>
      <x:c r="J228" s="18" t="n">
        <x:v>15700</x:v>
      </x:c>
      <x:c r="K228" s="16" t="n">
        <x:v>0.05</x:v>
      </x:c>
      <x:c r="L228" s="18" t="n">
        <x:v>8700</x:v>
      </x:c>
      <x:c r="M228" s="11" t="str">
        <x:v>Tarjeta</x:v>
      </x:c>
      <x:c r="N228" s="11" t="n">
        <x:v>53</x:v>
      </x:c>
      <x:c r="O228" s="11" t="str">
        <x:v>A tiempo</x:v>
      </x:c>
      <x:c r="P228" s="20" t="n">
        <x:v>4</x:v>
      </x:c>
      <x:c r="Q228" s="18" t="n">
        <x:f>I228*J228</x:f>
        <x:v>15700</x:v>
      </x:c>
      <x:c r="R228" s="18" t="n">
        <x:f>Q228*K228</x:f>
        <x:v>785</x:v>
      </x:c>
      <x:c r="S228" s="18" t="n">
        <x:f>Q228-R228</x:f>
        <x:v>14915</x:v>
      </x:c>
      <x:c r="T228" s="18" t="n">
        <x:f>I228*L228</x:f>
        <x:v>8700</x:v>
      </x:c>
      <x:c r="U228" s="18" t="n">
        <x:f>S228-T228</x:f>
        <x:v>6215</x:v>
      </x:c>
    </x:row>
    <x:row r="229">
      <x:c r="A229" s="11" t="str">
        <x:v>V-0401</x:v>
      </x:c>
      <x:c r="B229" s="14" t="n">
        <x:v>46135</x:v>
      </x:c>
      <x:c r="C229" s="11" t="str">
        <x:v>Cali</x:v>
      </x:c>
      <x:c r="D229" s="11" t="str">
        <x:v>Web</x:v>
      </x:c>
      <x:c r="E229" s="11" t="str">
        <x:v>Bebidas</x:v>
      </x:c>
      <x:c r="F229" s="11" t="str">
        <x:v>Bebida caliente</x:v>
      </x:c>
      <x:c r="G229" s="11" t="str">
        <x:v>C-0044</x:v>
      </x:c>
      <x:c r="H229" s="11" t="str">
        <x:v>Recurrente</x:v>
      </x:c>
      <x:c r="I229" s="11" t="n">
        <x:v>3</x:v>
      </x:c>
      <x:c r="J229" s="18" t="n">
        <x:v>7000</x:v>
      </x:c>
      <x:c r="K229" s="16" t="n">
        <x:v>0</x:v>
      </x:c>
      <x:c r="L229" s="18" t="n">
        <x:v>3500</x:v>
      </x:c>
      <x:c r="M229" s="11" t="str">
        <x:v>Transferencia</x:v>
      </x:c>
      <x:c r="N229" s="11" t="n">
        <x:v>63</x:v>
      </x:c>
      <x:c r="O229" s="11" t="str">
        <x:v>Tardía</x:v>
      </x:c>
      <x:c r="P229" s="20" t="n">
        <x:v>5</x:v>
      </x:c>
      <x:c r="Q229" s="18" t="n">
        <x:f>I229*J229</x:f>
        <x:v>21000</x:v>
      </x:c>
      <x:c r="R229" s="18" t="n">
        <x:f>Q229*K229</x:f>
        <x:v>0</x:v>
      </x:c>
      <x:c r="S229" s="18" t="n">
        <x:f>Q229-R229</x:f>
        <x:v>21000</x:v>
      </x:c>
      <x:c r="T229" s="18" t="n">
        <x:f>I229*L229</x:f>
        <x:v>10500</x:v>
      </x:c>
      <x:c r="U229" s="18" t="n">
        <x:f>S229-T229</x:f>
        <x:v>10500</x:v>
      </x:c>
    </x:row>
    <x:row r="230">
      <x:c r="A230" s="11" t="str">
        <x:v>V-0048</x:v>
      </x:c>
      <x:c r="B230" s="14" t="n">
        <x:v>46136</x:v>
      </x:c>
      <x:c r="C230" s="11" t="str">
        <x:v>Florencia</x:v>
      </x:c>
      <x:c r="D230" s="11" t="str">
        <x:v>Tienda</x:v>
      </x:c>
      <x:c r="E230" s="11" t="str">
        <x:v>Cuidado personal</x:v>
      </x:c>
      <x:c r="F230" s="11" t="str">
        <x:v>Accesorio personal</x:v>
      </x:c>
      <x:c r="G230" s="11" t="str">
        <x:v>C-0007</x:v>
      </x:c>
      <x:c r="H230" s="11" t="str">
        <x:v>Nuevo</x:v>
      </x:c>
      <x:c r="I230" s="11" t="n">
        <x:v>4</x:v>
      </x:c>
      <x:c r="J230" s="18" t="n">
        <x:v>17700</x:v>
      </x:c>
      <x:c r="K230" s="16" t="n">
        <x:v>0.1</x:v>
      </x:c>
      <x:c r="L230" s="18" t="n">
        <x:v>10400</x:v>
      </x:c>
      <x:c r="M230" s="11" t="str">
        <x:v>Efectivo</x:v>
      </x:c>
      <x:c r="N230" s="11" t="n">
        <x:v>0</x:v>
      </x:c>
      <x:c r="O230" s="11" t="str">
        <x:v>No aplica</x:v>
      </x:c>
      <x:c r="P230" s="20" t="n">
        <x:v>4</x:v>
      </x:c>
      <x:c r="Q230" s="18" t="n">
        <x:f>I230*J230</x:f>
        <x:v>70800</x:v>
      </x:c>
      <x:c r="R230" s="18" t="n">
        <x:f>Q230*K230</x:f>
        <x:v>7080</x:v>
      </x:c>
      <x:c r="S230" s="18" t="n">
        <x:f>Q230-R230</x:f>
        <x:v>63720</x:v>
      </x:c>
      <x:c r="T230" s="18" t="n">
        <x:f>I230*L230</x:f>
        <x:v>41600</x:v>
      </x:c>
      <x:c r="U230" s="18" t="n">
        <x:f>S230-T230</x:f>
        <x:v>22120</x:v>
      </x:c>
    </x:row>
    <x:row r="231">
      <x:c r="A231" s="11" t="str">
        <x:v>V-0281</x:v>
      </x:c>
      <x:c r="B231" s="14" t="n">
        <x:v>46136</x:v>
      </x:c>
      <x:c r="C231" s="11" t="str">
        <x:v>Neiva</x:v>
      </x:c>
      <x:c r="D231" s="11" t="str">
        <x:v>Web</x:v>
      </x:c>
      <x:c r="E231" s="11" t="str">
        <x:v>Cuidado personal</x:v>
      </x:c>
      <x:c r="F231" s="11" t="str">
        <x:v>Kit cuidado</x:v>
      </x:c>
      <x:c r="G231" s="11" t="str">
        <x:v>C-0074</x:v>
      </x:c>
      <x:c r="H231" s="11" t="str">
        <x:v>Recurrente</x:v>
      </x:c>
      <x:c r="I231" s="11" t="n">
        <x:v>3</x:v>
      </x:c>
      <x:c r="J231" s="18" t="n">
        <x:v>43100</x:v>
      </x:c>
      <x:c r="K231" s="16" t="n">
        <x:v>0</x:v>
      </x:c>
      <x:c r="L231" s="18" t="n">
        <x:v>27100</x:v>
      </x:c>
      <x:c r="M231" s="11" t="str">
        <x:v>Transferencia</x:v>
      </x:c>
      <x:c r="N231" s="11" t="n">
        <x:v>41</x:v>
      </x:c>
      <x:c r="O231" s="11" t="str">
        <x:v>A tiempo</x:v>
      </x:c>
      <x:c r="P231" s="20" t="n">
        <x:v>5</x:v>
      </x:c>
      <x:c r="Q231" s="18" t="n">
        <x:f>I231*J231</x:f>
        <x:v>129300</x:v>
      </x:c>
      <x:c r="R231" s="18" t="n">
        <x:f>Q231*K231</x:f>
        <x:v>0</x:v>
      </x:c>
      <x:c r="S231" s="18" t="n">
        <x:f>Q231-R231</x:f>
        <x:v>129300</x:v>
      </x:c>
      <x:c r="T231" s="18" t="n">
        <x:f>I231*L231</x:f>
        <x:v>81300</x:v>
      </x:c>
      <x:c r="U231" s="18" t="n">
        <x:f>S231-T231</x:f>
        <x:v>48000</x:v>
      </x:c>
    </x:row>
    <x:row r="232">
      <x:c r="A232" s="11" t="str">
        <x:v>V-0303</x:v>
      </x:c>
      <x:c r="B232" s="14" t="n">
        <x:v>46136</x:v>
      </x:c>
      <x:c r="C232" s="11" t="str">
        <x:v>Florencia</x:v>
      </x:c>
      <x:c r="D232" s="11" t="str">
        <x:v>Tienda</x:v>
      </x:c>
      <x:c r="E232" s="11" t="str">
        <x:v>Hogar</x:v>
      </x:c>
      <x:c r="F232" s="11" t="str">
        <x:v>Accesorio hogar</x:v>
      </x:c>
      <x:c r="G232" s="11" t="str">
        <x:v>C-0078</x:v>
      </x:c>
      <x:c r="H232" s="11" t="str">
        <x:v>Nuevo</x:v>
      </x:c>
      <x:c r="I232" s="11" t="n">
        <x:v>2</x:v>
      </x:c>
      <x:c r="J232" s="18" t="n">
        <x:v>28500</x:v>
      </x:c>
      <x:c r="K232" s="16" t="n">
        <x:v>0.1</x:v>
      </x:c>
      <x:c r="L232" s="18" t="n">
        <x:v>18500</x:v>
      </x:c>
      <x:c r="M232" s="11" t="str">
        <x:v>Efectivo</x:v>
      </x:c>
      <x:c r="N232" s="11" t="n">
        <x:v>0</x:v>
      </x:c>
      <x:c r="O232" s="11" t="str">
        <x:v>No aplica</x:v>
      </x:c>
      <x:c r="P232" s="20" t="n">
        <x:v>4</x:v>
      </x:c>
      <x:c r="Q232" s="18" t="n">
        <x:f>I232*J232</x:f>
        <x:v>57000</x:v>
      </x:c>
      <x:c r="R232" s="18" t="n">
        <x:f>Q232*K232</x:f>
        <x:v>5700</x:v>
      </x:c>
      <x:c r="S232" s="18" t="n">
        <x:f>Q232-R232</x:f>
        <x:v>51300</x:v>
      </x:c>
      <x:c r="T232" s="18" t="n">
        <x:f>I232*L232</x:f>
        <x:v>37000</x:v>
      </x:c>
      <x:c r="U232" s="18" t="n">
        <x:f>S232-T232</x:f>
        <x:v>14300</x:v>
      </x:c>
    </x:row>
    <x:row r="233">
      <x:c r="A233" s="11" t="str">
        <x:v>V-0001</x:v>
      </x:c>
      <x:c r="B233" s="14" t="n">
        <x:v>46137</x:v>
      </x:c>
      <x:c r="C233" s="11" t="str">
        <x:v>Bogotá</x:v>
      </x:c>
      <x:c r="D233" s="11" t="str">
        <x:v>App</x:v>
      </x:c>
      <x:c r="E233" s="11" t="str">
        <x:v>Alimentos</x:v>
      </x:c>
      <x:c r="F233" s="11" t="str">
        <x:v>Snack saludable</x:v>
      </x:c>
      <x:c r="G233" s="11" t="str">
        <x:v>C-0052</x:v>
      </x:c>
      <x:c r="H233" s="11" t="str">
        <x:v>Nuevo</x:v>
      </x:c>
      <x:c r="I233" s="11" t="n">
        <x:v>3</x:v>
      </x:c>
      <x:c r="J233" s="18" t="n">
        <x:v>8800</x:v>
      </x:c>
      <x:c r="K233" s="16" t="n">
        <x:v>0</x:v>
      </x:c>
      <x:c r="L233" s="18" t="n">
        <x:v>5000</x:v>
      </x:c>
      <x:c r="M233" s="11" t="str">
        <x:v>Tarjeta</x:v>
      </x:c>
      <x:c r="N233" s="11" t="n">
        <x:v>54</x:v>
      </x:c>
      <x:c r="O233" s="11" t="str">
        <x:v>A tiempo</x:v>
      </x:c>
      <x:c r="P233" s="20" t="n">
        <x:v>5</x:v>
      </x:c>
      <x:c r="Q233" s="18" t="n">
        <x:f>I233*J233</x:f>
        <x:v>26400</x:v>
      </x:c>
      <x:c r="R233" s="18" t="n">
        <x:f>Q233*K233</x:f>
        <x:v>0</x:v>
      </x:c>
      <x:c r="S233" s="18" t="n">
        <x:f>Q233-R233</x:f>
        <x:v>26400</x:v>
      </x:c>
      <x:c r="T233" s="18" t="n">
        <x:f>I233*L233</x:f>
        <x:v>15000</x:v>
      </x:c>
      <x:c r="U233" s="18" t="n">
        <x:f>S233-T233</x:f>
        <x:v>11400</x:v>
      </x:c>
    </x:row>
    <x:row r="234">
      <x:c r="A234" s="11" t="str">
        <x:v>V-0139</x:v>
      </x:c>
      <x:c r="B234" s="14" t="n">
        <x:v>46138</x:v>
      </x:c>
      <x:c r="C234" s="11" t="str">
        <x:v>Ibagué</x:v>
      </x:c>
      <x:c r="D234" s="11" t="str">
        <x:v>App</x:v>
      </x:c>
      <x:c r="E234" s="11" t="str">
        <x:v>Bebidas</x:v>
      </x:c>
      <x:c r="F234" s="11" t="str">
        <x:v>Bebida premium</x:v>
      </x:c>
      <x:c r="G234" s="11" t="str">
        <x:v>C-0093</x:v>
      </x:c>
      <x:c r="H234" s="11" t="str">
        <x:v>Recurrente</x:v>
      </x:c>
      <x:c r="I234" s="11" t="n">
        <x:v>2</x:v>
      </x:c>
      <x:c r="J234" s="18" t="n">
        <x:v>14900</x:v>
      </x:c>
      <x:c r="K234" s="16" t="n">
        <x:v>0.1</x:v>
      </x:c>
      <x:c r="L234" s="18" t="n">
        <x:v>8800</x:v>
      </x:c>
      <x:c r="M234" s="11" t="str">
        <x:v>Tarjeta</x:v>
      </x:c>
      <x:c r="N234" s="11" t="n">
        <x:v>49</x:v>
      </x:c>
      <x:c r="O234" s="11" t="str">
        <x:v>A tiempo</x:v>
      </x:c>
      <x:c r="P234" s="20" t="n">
        <x:v>5</x:v>
      </x:c>
      <x:c r="Q234" s="18" t="n">
        <x:f>I234*J234</x:f>
        <x:v>29800</x:v>
      </x:c>
      <x:c r="R234" s="18" t="n">
        <x:f>Q234*K234</x:f>
        <x:v>2980</x:v>
      </x:c>
      <x:c r="S234" s="18" t="n">
        <x:f>Q234-R234</x:f>
        <x:v>26820</x:v>
      </x:c>
      <x:c r="T234" s="18" t="n">
        <x:f>I234*L234</x:f>
        <x:v>17600</x:v>
      </x:c>
      <x:c r="U234" s="18" t="n">
        <x:f>S234-T234</x:f>
        <x:v>9220</x:v>
      </x:c>
    </x:row>
    <x:row r="235">
      <x:c r="A235" s="11" t="str">
        <x:v>V-0352</x:v>
      </x:c>
      <x:c r="B235" s="14" t="n">
        <x:v>46138</x:v>
      </x:c>
      <x:c r="C235" s="11" t="str">
        <x:v>Florencia</x:v>
      </x:c>
      <x:c r="D235" s="11" t="str">
        <x:v>App</x:v>
      </x:c>
      <x:c r="E235" s="11" t="str">
        <x:v>Bebidas</x:v>
      </x:c>
      <x:c r="F235" s="11" t="str">
        <x:v>Bebida premium</x:v>
      </x:c>
      <x:c r="G235" s="11" t="str">
        <x:v>C-0025</x:v>
      </x:c>
      <x:c r="H235" s="11" t="str">
        <x:v>Recurrente</x:v>
      </x:c>
      <x:c r="I235" s="11" t="n">
        <x:v>3</x:v>
      </x:c>
      <x:c r="J235" s="18" t="n">
        <x:v>15100</x:v>
      </x:c>
      <x:c r="K235" s="16" t="n">
        <x:v>0.05</x:v>
      </x:c>
      <x:c r="L235" s="18" t="n">
        <x:v>8300</x:v>
      </x:c>
      <x:c r="M235" s="11" t="str">
        <x:v>Transferencia</x:v>
      </x:c>
      <x:c r="N235" s="11" t="n">
        <x:v>69</x:v>
      </x:c>
      <x:c r="O235" s="11" t="str">
        <x:v>A tiempo</x:v>
      </x:c>
      <x:c r="P235" s="20" t="n">
        <x:v>5</x:v>
      </x:c>
      <x:c r="Q235" s="18" t="n">
        <x:f>I235*J235</x:f>
        <x:v>45300</x:v>
      </x:c>
      <x:c r="R235" s="18" t="n">
        <x:f>Q235*K235</x:f>
        <x:v>2265</x:v>
      </x:c>
      <x:c r="S235" s="18" t="n">
        <x:f>Q235-R235</x:f>
        <x:v>43035</x:v>
      </x:c>
      <x:c r="T235" s="18" t="n">
        <x:f>I235*L235</x:f>
        <x:v>24900</x:v>
      </x:c>
      <x:c r="U235" s="18" t="n">
        <x:f>S235-T235</x:f>
        <x:v>18135</x:v>
      </x:c>
    </x:row>
    <x:row r="236">
      <x:c r="A236" s="11" t="str">
        <x:v>V-0436</x:v>
      </x:c>
      <x:c r="B236" s="14" t="n">
        <x:v>46138</x:v>
      </x:c>
      <x:c r="C236" s="11" t="str">
        <x:v>Cali</x:v>
      </x:c>
      <x:c r="D236" s="11" t="str">
        <x:v>Tienda</x:v>
      </x:c>
      <x:c r="E236" s="11" t="str">
        <x:v>Cuidado personal</x:v>
      </x:c>
      <x:c r="F236" s="11" t="str">
        <x:v>Producto bienestar</x:v>
      </x:c>
      <x:c r="G236" s="11" t="str">
        <x:v>C-0060</x:v>
      </x:c>
      <x:c r="H236" s="11" t="str">
        <x:v>Recurrente</x:v>
      </x:c>
      <x:c r="I236" s="11" t="n">
        <x:v>1</x:v>
      </x:c>
      <x:c r="J236" s="18" t="n">
        <x:v>31300</x:v>
      </x:c>
      <x:c r="K236" s="16" t="n">
        <x:v>0.1</x:v>
      </x:c>
      <x:c r="L236" s="18" t="n">
        <x:v>19600</x:v>
      </x:c>
      <x:c r="M236" s="11" t="str">
        <x:v>Transferencia</x:v>
      </x:c>
      <x:c r="N236" s="11" t="n">
        <x:v>0</x:v>
      </x:c>
      <x:c r="O236" s="11" t="str">
        <x:v>No aplica</x:v>
      </x:c>
      <x:c r="P236" s="20" t="n">
        <x:v>4</x:v>
      </x:c>
      <x:c r="Q236" s="18" t="n">
        <x:f>I236*J236</x:f>
        <x:v>31300</x:v>
      </x:c>
      <x:c r="R236" s="18" t="n">
        <x:f>Q236*K236</x:f>
        <x:v>3130</x:v>
      </x:c>
      <x:c r="S236" s="18" t="n">
        <x:f>Q236-R236</x:f>
        <x:v>28170</x:v>
      </x:c>
      <x:c r="T236" s="18" t="n">
        <x:f>I236*L236</x:f>
        <x:v>19600</x:v>
      </x:c>
      <x:c r="U236" s="18" t="n">
        <x:f>S236-T236</x:f>
        <x:v>8570</x:v>
      </x:c>
    </x:row>
    <x:row r="237">
      <x:c r="A237" s="11" t="str">
        <x:v>V-0398</x:v>
      </x:c>
      <x:c r="B237" s="14" t="n">
        <x:v>46139</x:v>
      </x:c>
      <x:c r="C237" s="11" t="str">
        <x:v>Neiva</x:v>
      </x:c>
      <x:c r="D237" s="11" t="str">
        <x:v>Tienda</x:v>
      </x:c>
      <x:c r="E237" s="11" t="str">
        <x:v>Cuidado personal</x:v>
      </x:c>
      <x:c r="F237" s="11" t="str">
        <x:v>Producto bienestar</x:v>
      </x:c>
      <x:c r="G237" s="11" t="str">
        <x:v>C-0033</x:v>
      </x:c>
      <x:c r="H237" s="11" t="str">
        <x:v>Recurrente</x:v>
      </x:c>
      <x:c r="I237" s="11" t="n">
        <x:v>2</x:v>
      </x:c>
      <x:c r="J237" s="18" t="n">
        <x:v>34600</x:v>
      </x:c>
      <x:c r="K237" s="16" t="n">
        <x:v>0.05</x:v>
      </x:c>
      <x:c r="L237" s="18" t="n">
        <x:v>20800</x:v>
      </x:c>
      <x:c r="M237" s="11" t="str">
        <x:v>Efectivo</x:v>
      </x:c>
      <x:c r="N237" s="11" t="n">
        <x:v>0</x:v>
      </x:c>
      <x:c r="O237" s="11" t="str">
        <x:v>No aplica</x:v>
      </x:c>
      <x:c r="P237" s="20" t="n">
        <x:v>5</x:v>
      </x:c>
      <x:c r="Q237" s="18" t="n">
        <x:f>I237*J237</x:f>
        <x:v>69200</x:v>
      </x:c>
      <x:c r="R237" s="18" t="n">
        <x:f>Q237*K237</x:f>
        <x:v>3460</x:v>
      </x:c>
      <x:c r="S237" s="18" t="n">
        <x:f>Q237-R237</x:f>
        <x:v>65740</x:v>
      </x:c>
      <x:c r="T237" s="18" t="n">
        <x:f>I237*L237</x:f>
        <x:v>41600</x:v>
      </x:c>
      <x:c r="U237" s="18" t="n">
        <x:f>S237-T237</x:f>
        <x:v>24140</x:v>
      </x:c>
    </x:row>
    <x:row r="238">
      <x:c r="A238" s="11" t="str">
        <x:v>V-0249</x:v>
      </x:c>
      <x:c r="B238" s="14" t="n">
        <x:v>46140</x:v>
      </x:c>
      <x:c r="C238" s="11" t="str">
        <x:v>Medellín</x:v>
      </x:c>
      <x:c r="D238" s="11" t="str">
        <x:v>Tienda</x:v>
      </x:c>
      <x:c r="E238" s="11" t="str">
        <x:v>Alimentos</x:v>
      </x:c>
      <x:c r="F238" s="11" t="str">
        <x:v>Producto gourmet</x:v>
      </x:c>
      <x:c r="G238" s="11" t="str">
        <x:v>C-0109</x:v>
      </x:c>
      <x:c r="H238" s="11" t="str">
        <x:v>Recurrente</x:v>
      </x:c>
      <x:c r="I238" s="11" t="n">
        <x:v>5</x:v>
      </x:c>
      <x:c r="J238" s="18" t="n">
        <x:v>29000</x:v>
      </x:c>
      <x:c r="K238" s="16" t="n">
        <x:v>0</x:v>
      </x:c>
      <x:c r="L238" s="18" t="n">
        <x:v>17700</x:v>
      </x:c>
      <x:c r="M238" s="11" t="str">
        <x:v>Billetera digital</x:v>
      </x:c>
      <x:c r="N238" s="11" t="n">
        <x:v>0</x:v>
      </x:c>
      <x:c r="O238" s="11" t="str">
        <x:v>No aplica</x:v>
      </x:c>
      <x:c r="P238" s="20" t="n">
        <x:v>5</x:v>
      </x:c>
      <x:c r="Q238" s="18" t="n">
        <x:f>I238*J238</x:f>
        <x:v>145000</x:v>
      </x:c>
      <x:c r="R238" s="18" t="n">
        <x:f>Q238*K238</x:f>
        <x:v>0</x:v>
      </x:c>
      <x:c r="S238" s="18" t="n">
        <x:f>Q238-R238</x:f>
        <x:v>145000</x:v>
      </x:c>
      <x:c r="T238" s="18" t="n">
        <x:f>I238*L238</x:f>
        <x:v>88500</x:v>
      </x:c>
      <x:c r="U238" s="18" t="n">
        <x:f>S238-T238</x:f>
        <x:v>56500</x:v>
      </x:c>
    </x:row>
    <x:row r="239">
      <x:c r="A239" s="11" t="str">
        <x:v>V-0324</x:v>
      </x:c>
      <x:c r="B239" s="14" t="n">
        <x:v>46140</x:v>
      </x:c>
      <x:c r="C239" s="11" t="str">
        <x:v>Florencia</x:v>
      </x:c>
      <x:c r="D239" s="11" t="str">
        <x:v>Tienda</x:v>
      </x:c>
      <x:c r="E239" s="11" t="str">
        <x:v>Alimentos</x:v>
      </x:c>
      <x:c r="F239" s="11" t="str">
        <x:v>Producto gourmet</x:v>
      </x:c>
      <x:c r="G239" s="11" t="str">
        <x:v>C-0034</x:v>
      </x:c>
      <x:c r="H239" s="11" t="str">
        <x:v>Recurrente</x:v>
      </x:c>
      <x:c r="I239" s="11" t="n">
        <x:v>2</x:v>
      </x:c>
      <x:c r="J239" s="18" t="n">
        <x:v>30200</x:v>
      </x:c>
      <x:c r="K239" s="16" t="n">
        <x:v>0.05</x:v>
      </x:c>
      <x:c r="L239" s="18" t="n">
        <x:v>19600</x:v>
      </x:c>
      <x:c r="M239" s="11" t="str">
        <x:v>Efectivo</x:v>
      </x:c>
      <x:c r="N239" s="11" t="n">
        <x:v>0</x:v>
      </x:c>
      <x:c r="O239" s="11" t="str">
        <x:v>No aplica</x:v>
      </x:c>
      <x:c r="P239" s="20" t="n">
        <x:v>4</x:v>
      </x:c>
      <x:c r="Q239" s="18" t="n">
        <x:f>I239*J239</x:f>
        <x:v>60400</x:v>
      </x:c>
      <x:c r="R239" s="18" t="n">
        <x:f>Q239*K239</x:f>
        <x:v>3020</x:v>
      </x:c>
      <x:c r="S239" s="18" t="n">
        <x:f>Q239-R239</x:f>
        <x:v>57380</x:v>
      </x:c>
      <x:c r="T239" s="18" t="n">
        <x:f>I239*L239</x:f>
        <x:v>39200</x:v>
      </x:c>
      <x:c r="U239" s="18" t="n">
        <x:f>S239-T239</x:f>
        <x:v>18180</x:v>
      </x:c>
    </x:row>
    <x:row r="240">
      <x:c r="A240" s="11" t="str">
        <x:v>V-0389</x:v>
      </x:c>
      <x:c r="B240" s="14" t="n">
        <x:v>46140</x:v>
      </x:c>
      <x:c r="C240" s="11" t="str">
        <x:v>Florencia</x:v>
      </x:c>
      <x:c r="D240" s="11" t="str">
        <x:v>Tienda</x:v>
      </x:c>
      <x:c r="E240" s="11" t="str">
        <x:v>Alimentos</x:v>
      </x:c>
      <x:c r="F240" s="11" t="str">
        <x:v>Producto gourmet</x:v>
      </x:c>
      <x:c r="G240" s="11" t="str">
        <x:v>C-0033</x:v>
      </x:c>
      <x:c r="H240" s="11" t="str">
        <x:v>Recurrente</x:v>
      </x:c>
      <x:c r="I240" s="11" t="n">
        <x:v>3</x:v>
      </x:c>
      <x:c r="J240" s="18" t="n">
        <x:v>31300</x:v>
      </x:c>
      <x:c r="K240" s="16" t="n">
        <x:v>0</x:v>
      </x:c>
      <x:c r="L240" s="18" t="n">
        <x:v>20900</x:v>
      </x:c>
      <x:c r="M240" s="11" t="str">
        <x:v>Billetera digital</x:v>
      </x:c>
      <x:c r="N240" s="11" t="n">
        <x:v>0</x:v>
      </x:c>
      <x:c r="O240" s="11" t="str">
        <x:v>No aplica</x:v>
      </x:c>
      <x:c r="P240" s="20" t="n">
        <x:v>4</x:v>
      </x:c>
      <x:c r="Q240" s="18" t="n">
        <x:f>I240*J240</x:f>
        <x:v>93900</x:v>
      </x:c>
      <x:c r="R240" s="18" t="n">
        <x:f>Q240*K240</x:f>
        <x:v>0</x:v>
      </x:c>
      <x:c r="S240" s="18" t="n">
        <x:f>Q240-R240</x:f>
        <x:v>93900</x:v>
      </x:c>
      <x:c r="T240" s="18" t="n">
        <x:f>I240*L240</x:f>
        <x:v>62700</x:v>
      </x:c>
      <x:c r="U240" s="18" t="n">
        <x:f>S240-T240</x:f>
        <x:v>31200</x:v>
      </x:c>
    </x:row>
    <x:row r="241">
      <x:c r="A241" s="11" t="str">
        <x:v>V-0050</x:v>
      </x:c>
      <x:c r="B241" s="14" t="n">
        <x:v>46141</x:v>
      </x:c>
      <x:c r="C241" s="11" t="str">
        <x:v>Neiva</x:v>
      </x:c>
      <x:c r="D241" s="11" t="str">
        <x:v>Web</x:v>
      </x:c>
      <x:c r="E241" s="11" t="str">
        <x:v>Hogar</x:v>
      </x:c>
      <x:c r="F241" s="11" t="str">
        <x:v>Accesorio hogar</x:v>
      </x:c>
      <x:c r="G241" s="11" t="str">
        <x:v>C-0096</x:v>
      </x:c>
      <x:c r="H241" s="11" t="str">
        <x:v>Nuevo</x:v>
      </x:c>
      <x:c r="I241" s="11" t="n">
        <x:v>4</x:v>
      </x:c>
      <x:c r="J241" s="18" t="n">
        <x:v>29800</x:v>
      </x:c>
      <x:c r="K241" s="16" t="n">
        <x:v>0</x:v>
      </x:c>
      <x:c r="L241" s="18" t="n">
        <x:v>19000</x:v>
      </x:c>
      <x:c r="M241" s="11" t="str">
        <x:v>Billetera digital</x:v>
      </x:c>
      <x:c r="N241" s="11" t="n">
        <x:v>35</x:v>
      </x:c>
      <x:c r="O241" s="11" t="str">
        <x:v>A tiempo</x:v>
      </x:c>
      <x:c r="P241" s="20" t="n">
        <x:v>4</x:v>
      </x:c>
      <x:c r="Q241" s="18" t="n">
        <x:f>I241*J241</x:f>
        <x:v>119200</x:v>
      </x:c>
      <x:c r="R241" s="18" t="n">
        <x:f>Q241*K241</x:f>
        <x:v>0</x:v>
      </x:c>
      <x:c r="S241" s="18" t="n">
        <x:f>Q241-R241</x:f>
        <x:v>119200</x:v>
      </x:c>
      <x:c r="T241" s="18" t="n">
        <x:f>I241*L241</x:f>
        <x:v>76000</x:v>
      </x:c>
      <x:c r="U241" s="18" t="n">
        <x:f>S241-T241</x:f>
        <x:v>43200</x:v>
      </x:c>
    </x:row>
    <x:row r="242">
      <x:c r="A242" s="11" t="str">
        <x:v>V-0295</x:v>
      </x:c>
      <x:c r="B242" s="14" t="n">
        <x:v>46141</x:v>
      </x:c>
      <x:c r="C242" s="11" t="str">
        <x:v>Ibagué</x:v>
      </x:c>
      <x:c r="D242" s="11" t="str">
        <x:v>Tienda</x:v>
      </x:c>
      <x:c r="E242" s="11" t="str">
        <x:v>Bebidas</x:v>
      </x:c>
      <x:c r="F242" s="11" t="str">
        <x:v>Bebida premium</x:v>
      </x:c>
      <x:c r="G242" s="11" t="str">
        <x:v>C-0114</x:v>
      </x:c>
      <x:c r="H242" s="11" t="str">
        <x:v>Recurrente</x:v>
      </x:c>
      <x:c r="I242" s="11" t="n">
        <x:v>2</x:v>
      </x:c>
      <x:c r="J242" s="18" t="n">
        <x:v>15600</x:v>
      </x:c>
      <x:c r="K242" s="16" t="n">
        <x:v>0.2</x:v>
      </x:c>
      <x:c r="L242" s="18" t="n">
        <x:v>8600</x:v>
      </x:c>
      <x:c r="M242" s="11" t="str">
        <x:v>Efectivo</x:v>
      </x:c>
      <x:c r="N242" s="11" t="n">
        <x:v>0</x:v>
      </x:c>
      <x:c r="O242" s="11" t="str">
        <x:v>No aplica</x:v>
      </x:c>
      <x:c r="P242" s="20" t="n">
        <x:v>4</x:v>
      </x:c>
      <x:c r="Q242" s="18" t="n">
        <x:f>I242*J242</x:f>
        <x:v>31200</x:v>
      </x:c>
      <x:c r="R242" s="18" t="n">
        <x:f>Q242*K242</x:f>
        <x:v>6240</x:v>
      </x:c>
      <x:c r="S242" s="18" t="n">
        <x:f>Q242-R242</x:f>
        <x:v>24960</x:v>
      </x:c>
      <x:c r="T242" s="18" t="n">
        <x:f>I242*L242</x:f>
        <x:v>17200</x:v>
      </x:c>
      <x:c r="U242" s="18" t="n">
        <x:f>S242-T242</x:f>
        <x:v>7760</x:v>
      </x:c>
    </x:row>
    <x:row r="243">
      <x:c r="A243" s="11" t="str">
        <x:v>V-0329</x:v>
      </x:c>
      <x:c r="B243" s="14" t="n">
        <x:v>46141</x:v>
      </x:c>
      <x:c r="C243" s="11" t="str">
        <x:v>Bogotá</x:v>
      </x:c>
      <x:c r="D243" s="11" t="str">
        <x:v>App</x:v>
      </x:c>
      <x:c r="E243" s="11" t="str">
        <x:v>Bebidas</x:v>
      </x:c>
      <x:c r="F243" s="11" t="str">
        <x:v>Bebida fría</x:v>
      </x:c>
      <x:c r="G243" s="11" t="str">
        <x:v>C-0033</x:v>
      </x:c>
      <x:c r="H243" s="11" t="str">
        <x:v>Recurrente</x:v>
      </x:c>
      <x:c r="I243" s="11" t="n">
        <x:v>1</x:v>
      </x:c>
      <x:c r="J243" s="18" t="n">
        <x:v>7400</x:v>
      </x:c>
      <x:c r="K243" s="16" t="n">
        <x:v>0.15</x:v>
      </x:c>
      <x:c r="L243" s="18" t="n">
        <x:v>3900</x:v>
      </x:c>
      <x:c r="M243" s="11" t="str">
        <x:v>Billetera digital</x:v>
      </x:c>
      <x:c r="N243" s="11" t="n">
        <x:v>47</x:v>
      </x:c>
      <x:c r="O243" s="11" t="str">
        <x:v>A tiempo</x:v>
      </x:c>
      <x:c r="P243" s="20" t="n">
        <x:v>4</x:v>
      </x:c>
      <x:c r="Q243" s="18" t="n">
        <x:f>I243*J243</x:f>
        <x:v>7400</x:v>
      </x:c>
      <x:c r="R243" s="18" t="n">
        <x:f>Q243*K243</x:f>
        <x:v>1110</x:v>
      </x:c>
      <x:c r="S243" s="18" t="n">
        <x:f>Q243-R243</x:f>
        <x:v>6290</x:v>
      </x:c>
      <x:c r="T243" s="18" t="n">
        <x:f>I243*L243</x:f>
        <x:v>3900</x:v>
      </x:c>
      <x:c r="U243" s="18" t="n">
        <x:f>S243-T243</x:f>
        <x:v>2390</x:v>
      </x:c>
    </x:row>
    <x:row r="244">
      <x:c r="A244" s="11" t="str">
        <x:v>V-0440</x:v>
      </x:c>
      <x:c r="B244" s="14" t="n">
        <x:v>46141</x:v>
      </x:c>
      <x:c r="C244" s="11" t="str">
        <x:v>Florencia</x:v>
      </x:c>
      <x:c r="D244" s="11" t="str">
        <x:v>Tienda</x:v>
      </x:c>
      <x:c r="E244" s="11" t="str">
        <x:v>Alimentos</x:v>
      </x:c>
      <x:c r="F244" s="11" t="str">
        <x:v>Snack saludable</x:v>
      </x:c>
      <x:c r="G244" s="11" t="str">
        <x:v>C-0102</x:v>
      </x:c>
      <x:c r="H244" s="11" t="str">
        <x:v>Recurrente</x:v>
      </x:c>
      <x:c r="I244" s="11" t="n">
        <x:v>5</x:v>
      </x:c>
      <x:c r="J244" s="18" t="n">
        <x:v>8600</x:v>
      </x:c>
      <x:c r="K244" s="16" t="n">
        <x:v>0</x:v>
      </x:c>
      <x:c r="L244" s="18" t="n">
        <x:v>4900</x:v>
      </x:c>
      <x:c r="M244" s="11" t="str">
        <x:v>Tarjeta</x:v>
      </x:c>
      <x:c r="N244" s="11" t="n">
        <x:v>0</x:v>
      </x:c>
      <x:c r="O244" s="11" t="str">
        <x:v>No aplica</x:v>
      </x:c>
      <x:c r="P244" s="20" t="n">
        <x:v>5</x:v>
      </x:c>
      <x:c r="Q244" s="18" t="n">
        <x:f>I244*J244</x:f>
        <x:v>43000</x:v>
      </x:c>
      <x:c r="R244" s="18" t="n">
        <x:f>Q244*K244</x:f>
        <x:v>0</x:v>
      </x:c>
      <x:c r="S244" s="18" t="n">
        <x:f>Q244-R244</x:f>
        <x:v>43000</x:v>
      </x:c>
      <x:c r="T244" s="18" t="n">
        <x:f>I244*L244</x:f>
        <x:v>24500</x:v>
      </x:c>
      <x:c r="U244" s="18" t="n">
        <x:f>S244-T244</x:f>
        <x:v>18500</x:v>
      </x:c>
    </x:row>
    <x:row r="245">
      <x:c r="A245" s="11" t="str">
        <x:v>V-0279</x:v>
      </x:c>
      <x:c r="B245" s="14" t="n">
        <x:v>46142</x:v>
      </x:c>
      <x:c r="C245" s="11" t="str">
        <x:v>Bogotá</x:v>
      </x:c>
      <x:c r="D245" s="11" t="str">
        <x:v>App</x:v>
      </x:c>
      <x:c r="E245" s="11" t="str">
        <x:v>Alimentos</x:v>
      </x:c>
      <x:c r="F245" s="11" t="str">
        <x:v>Producto gourmet</x:v>
      </x:c>
      <x:c r="G245" s="11" t="str">
        <x:v>C-0029</x:v>
      </x:c>
      <x:c r="H245" s="11" t="str">
        <x:v>Recurrente</x:v>
      </x:c>
      <x:c r="I245" s="11" t="n">
        <x:v>1</x:v>
      </x:c>
      <x:c r="J245" s="18" t="n">
        <x:v>34000</x:v>
      </x:c>
      <x:c r="K245" s="16" t="n">
        <x:v>0.1</x:v>
      </x:c>
      <x:c r="L245" s="18" t="n">
        <x:v>22800</x:v>
      </x:c>
      <x:c r="M245" s="11" t="str">
        <x:v>Billetera digital</x:v>
      </x:c>
      <x:c r="N245" s="11" t="n">
        <x:v>59</x:v>
      </x:c>
      <x:c r="O245" s="11" t="str">
        <x:v>A tiempo</x:v>
      </x:c>
      <x:c r="P245" s="20" t="n">
        <x:v>5</x:v>
      </x:c>
      <x:c r="Q245" s="18" t="n">
        <x:f>I245*J245</x:f>
        <x:v>34000</x:v>
      </x:c>
      <x:c r="R245" s="18" t="n">
        <x:f>Q245*K245</x:f>
        <x:v>3400</x:v>
      </x:c>
      <x:c r="S245" s="18" t="n">
        <x:f>Q245-R245</x:f>
        <x:v>30600</x:v>
      </x:c>
      <x:c r="T245" s="18" t="n">
        <x:f>I245*L245</x:f>
        <x:v>22800</x:v>
      </x:c>
      <x:c r="U245" s="18" t="n">
        <x:f>S245-T245</x:f>
        <x:v>7800</x:v>
      </x:c>
    </x:row>
    <x:row r="246">
      <x:c r="A246" s="11" t="str">
        <x:v>V-0235</x:v>
      </x:c>
      <x:c r="B246" s="14" t="n">
        <x:v>46143</x:v>
      </x:c>
      <x:c r="C246" s="11" t="str">
        <x:v>Neiva</x:v>
      </x:c>
      <x:c r="D246" s="11" t="str">
        <x:v>Web</x:v>
      </x:c>
      <x:c r="E246" s="11" t="str">
        <x:v>Hogar</x:v>
      </x:c>
      <x:c r="F246" s="11" t="str">
        <x:v>Kit limpieza</x:v>
      </x:c>
      <x:c r="G246" s="11" t="str">
        <x:v>C-0058</x:v>
      </x:c>
      <x:c r="H246" s="11" t="str">
        <x:v>Recurrente</x:v>
      </x:c>
      <x:c r="I246" s="11" t="n">
        <x:v>1</x:v>
      </x:c>
      <x:c r="J246" s="18" t="n">
        <x:v>22000</x:v>
      </x:c>
      <x:c r="K246" s="16" t="n">
        <x:v>0.1</x:v>
      </x:c>
      <x:c r="L246" s="18" t="n">
        <x:v>12600</x:v>
      </x:c>
      <x:c r="M246" s="11" t="str">
        <x:v>Tarjeta</x:v>
      </x:c>
      <x:c r="N246" s="11" t="n">
        <x:v>38</x:v>
      </x:c>
      <x:c r="O246" s="11" t="str">
        <x:v>A tiempo</x:v>
      </x:c>
      <x:c r="P246" s="20" t="n">
        <x:v>4</x:v>
      </x:c>
      <x:c r="Q246" s="18" t="n">
        <x:f>I246*J246</x:f>
        <x:v>22000</x:v>
      </x:c>
      <x:c r="R246" s="18" t="n">
        <x:f>Q246*K246</x:f>
        <x:v>2200</x:v>
      </x:c>
      <x:c r="S246" s="18" t="n">
        <x:f>Q246-R246</x:f>
        <x:v>19800</x:v>
      </x:c>
      <x:c r="T246" s="18" t="n">
        <x:f>I246*L246</x:f>
        <x:v>12600</x:v>
      </x:c>
      <x:c r="U246" s="18" t="n">
        <x:f>S246-T246</x:f>
        <x:v>7200</x:v>
      </x:c>
    </x:row>
    <x:row r="247">
      <x:c r="A247" s="11" t="str">
        <x:v>V-0272</x:v>
      </x:c>
      <x:c r="B247" s="14" t="n">
        <x:v>46144</x:v>
      </x:c>
      <x:c r="C247" s="11" t="str">
        <x:v>Medellín</x:v>
      </x:c>
      <x:c r="D247" s="11" t="str">
        <x:v>App</x:v>
      </x:c>
      <x:c r="E247" s="11" t="str">
        <x:v>Hogar</x:v>
      </x:c>
      <x:c r="F247" s="11" t="str">
        <x:v>Accesorio hogar</x:v>
      </x:c>
      <x:c r="G247" s="11" t="str">
        <x:v>C-0049</x:v>
      </x:c>
      <x:c r="H247" s="11" t="str">
        <x:v>Recurrente</x:v>
      </x:c>
      <x:c r="I247" s="11" t="n">
        <x:v>2</x:v>
      </x:c>
      <x:c r="J247" s="18" t="n">
        <x:v>29300</x:v>
      </x:c>
      <x:c r="K247" s="16" t="n">
        <x:v>0</x:v>
      </x:c>
      <x:c r="L247" s="18" t="n">
        <x:v>17700</x:v>
      </x:c>
      <x:c r="M247" s="11" t="str">
        <x:v>Billetera digital</x:v>
      </x:c>
      <x:c r="N247" s="11" t="n">
        <x:v>73</x:v>
      </x:c>
      <x:c r="O247" s="11" t="str">
        <x:v>Tardía</x:v>
      </x:c>
      <x:c r="P247" s="20" t="n">
        <x:v>4</x:v>
      </x:c>
      <x:c r="Q247" s="18" t="n">
        <x:f>I247*J247</x:f>
        <x:v>58600</x:v>
      </x:c>
      <x:c r="R247" s="18" t="n">
        <x:f>Q247*K247</x:f>
        <x:v>0</x:v>
      </x:c>
      <x:c r="S247" s="18" t="n">
        <x:f>Q247-R247</x:f>
        <x:v>58600</x:v>
      </x:c>
      <x:c r="T247" s="18" t="n">
        <x:f>I247*L247</x:f>
        <x:v>35400</x:v>
      </x:c>
      <x:c r="U247" s="18" t="n">
        <x:f>S247-T247</x:f>
        <x:v>23200</x:v>
      </x:c>
    </x:row>
    <x:row r="248">
      <x:c r="A248" s="11" t="str">
        <x:v>V-0458</x:v>
      </x:c>
      <x:c r="B248" s="14" t="n">
        <x:v>46145</x:v>
      </x:c>
      <x:c r="C248" s="11" t="str">
        <x:v>Bogotá</x:v>
      </x:c>
      <x:c r="D248" s="11" t="str">
        <x:v>App</x:v>
      </x:c>
      <x:c r="E248" s="11" t="str">
        <x:v>Bebidas</x:v>
      </x:c>
      <x:c r="F248" s="11" t="str">
        <x:v>Bebida fría</x:v>
      </x:c>
      <x:c r="G248" s="11" t="str">
        <x:v>C-0083</x:v>
      </x:c>
      <x:c r="H248" s="11" t="str">
        <x:v>Recurrente</x:v>
      </x:c>
      <x:c r="I248" s="11" t="n">
        <x:v>1</x:v>
      </x:c>
      <x:c r="J248" s="18" t="n">
        <x:v>7400</x:v>
      </x:c>
      <x:c r="K248" s="16" t="n">
        <x:v>0.1</x:v>
      </x:c>
      <x:c r="L248" s="18" t="n">
        <x:v>3800</x:v>
      </x:c>
      <x:c r="M248" s="11" t="str">
        <x:v>Transferencia</x:v>
      </x:c>
      <x:c r="N248" s="11" t="n">
        <x:v>54</x:v>
      </x:c>
      <x:c r="O248" s="11" t="str">
        <x:v>A tiempo</x:v>
      </x:c>
      <x:c r="P248" s="20" t="n">
        <x:v>5</x:v>
      </x:c>
      <x:c r="Q248" s="18" t="n">
        <x:f>I248*J248</x:f>
        <x:v>7400</x:v>
      </x:c>
      <x:c r="R248" s="18" t="n">
        <x:f>Q248*K248</x:f>
        <x:v>740</x:v>
      </x:c>
      <x:c r="S248" s="18" t="n">
        <x:f>Q248-R248</x:f>
        <x:v>6660</x:v>
      </x:c>
      <x:c r="T248" s="18" t="n">
        <x:f>I248*L248</x:f>
        <x:v>3800</x:v>
      </x:c>
      <x:c r="U248" s="18" t="n">
        <x:f>S248-T248</x:f>
        <x:v>2860</x:v>
      </x:c>
    </x:row>
    <x:row r="249">
      <x:c r="A249" s="11" t="str">
        <x:v>V-0429</x:v>
      </x:c>
      <x:c r="B249" s="14" t="n">
        <x:v>46146</x:v>
      </x:c>
      <x:c r="C249" s="11" t="str">
        <x:v>Neiva</x:v>
      </x:c>
      <x:c r="D249" s="11" t="str">
        <x:v>App</x:v>
      </x:c>
      <x:c r="E249" s="11" t="str">
        <x:v>Cuidado personal</x:v>
      </x:c>
      <x:c r="F249" s="11" t="str">
        <x:v>Accesorio personal</x:v>
      </x:c>
      <x:c r="G249" s="11" t="str">
        <x:v>C-0069</x:v>
      </x:c>
      <x:c r="H249" s="11" t="str">
        <x:v>Recurrente</x:v>
      </x:c>
      <x:c r="I249" s="11" t="n">
        <x:v>1</x:v>
      </x:c>
      <x:c r="J249" s="18" t="n">
        <x:v>16900</x:v>
      </x:c>
      <x:c r="K249" s="16" t="n">
        <x:v>0</x:v>
      </x:c>
      <x:c r="L249" s="18" t="n">
        <x:v>9300</x:v>
      </x:c>
      <x:c r="M249" s="11" t="str">
        <x:v>Billetera digital</x:v>
      </x:c>
      <x:c r="N249" s="11" t="n">
        <x:v>26</x:v>
      </x:c>
      <x:c r="O249" s="11" t="str">
        <x:v>A tiempo</x:v>
      </x:c>
      <x:c r="P249" s="20" t="n">
        <x:v>5</x:v>
      </x:c>
      <x:c r="Q249" s="18" t="n">
        <x:f>I249*J249</x:f>
        <x:v>16900</x:v>
      </x:c>
      <x:c r="R249" s="18" t="n">
        <x:f>Q249*K249</x:f>
        <x:v>0</x:v>
      </x:c>
      <x:c r="S249" s="18" t="n">
        <x:f>Q249-R249</x:f>
        <x:v>16900</x:v>
      </x:c>
      <x:c r="T249" s="18" t="n">
        <x:f>I249*L249</x:f>
        <x:v>9300</x:v>
      </x:c>
      <x:c r="U249" s="18" t="n">
        <x:f>S249-T249</x:f>
        <x:v>7600</x:v>
      </x:c>
    </x:row>
    <x:row r="250">
      <x:c r="A250" s="11" t="str">
        <x:v>V-0211</x:v>
      </x:c>
      <x:c r="B250" s="14" t="n">
        <x:v>46147</x:v>
      </x:c>
      <x:c r="C250" s="11" t="str">
        <x:v>Bogotá</x:v>
      </x:c>
      <x:c r="D250" s="11" t="str">
        <x:v>Tienda</x:v>
      </x:c>
      <x:c r="E250" s="11" t="str">
        <x:v>Cuidado personal</x:v>
      </x:c>
      <x:c r="F250" s="11" t="str">
        <x:v>Kit cuidado</x:v>
      </x:c>
      <x:c r="G250" s="11" t="str">
        <x:v>C-0042</x:v>
      </x:c>
      <x:c r="H250" s="11" t="str">
        <x:v>Recurrente</x:v>
      </x:c>
      <x:c r="I250" s="11" t="n">
        <x:v>3</x:v>
      </x:c>
      <x:c r="J250" s="18" t="n">
        <x:v>45100</x:v>
      </x:c>
      <x:c r="K250" s="16" t="n">
        <x:v>0.15</x:v>
      </x:c>
      <x:c r="L250" s="18" t="n">
        <x:v>28700</x:v>
      </x:c>
      <x:c r="M250" s="11" t="str">
        <x:v>Billetera digital</x:v>
      </x:c>
      <x:c r="N250" s="11" t="n">
        <x:v>0</x:v>
      </x:c>
      <x:c r="O250" s="11" t="str">
        <x:v>No aplica</x:v>
      </x:c>
      <x:c r="P250" s="20" t="n">
        <x:v>4</x:v>
      </x:c>
      <x:c r="Q250" s="18" t="n">
        <x:f>I250*J250</x:f>
        <x:v>135300</x:v>
      </x:c>
      <x:c r="R250" s="18" t="n">
        <x:f>Q250*K250</x:f>
        <x:v>20295</x:v>
      </x:c>
      <x:c r="S250" s="18" t="n">
        <x:f>Q250-R250</x:f>
        <x:v>115005</x:v>
      </x:c>
      <x:c r="T250" s="18" t="n">
        <x:f>I250*L250</x:f>
        <x:v>86100</x:v>
      </x:c>
      <x:c r="U250" s="18" t="n">
        <x:f>S250-T250</x:f>
        <x:v>28905</x:v>
      </x:c>
    </x:row>
    <x:row r="251">
      <x:c r="A251" s="11" t="str">
        <x:v>V-0057</x:v>
      </x:c>
      <x:c r="B251" s="14" t="n">
        <x:v>46149</x:v>
      </x:c>
      <x:c r="C251" s="11" t="str">
        <x:v>Florencia</x:v>
      </x:c>
      <x:c r="D251" s="11" t="str">
        <x:v>App</x:v>
      </x:c>
      <x:c r="E251" s="11" t="str">
        <x:v>Cuidado personal</x:v>
      </x:c>
      <x:c r="F251" s="11" t="str">
        <x:v>Kit cuidado</x:v>
      </x:c>
      <x:c r="G251" s="11" t="str">
        <x:v>C-0096</x:v>
      </x:c>
      <x:c r="H251" s="11" t="str">
        <x:v>Recurrente</x:v>
      </x:c>
      <x:c r="I251" s="11" t="n">
        <x:v>2</x:v>
      </x:c>
      <x:c r="J251" s="18" t="n">
        <x:v>42700</x:v>
      </x:c>
      <x:c r="K251" s="16" t="n">
        <x:v>0.05</x:v>
      </x:c>
      <x:c r="L251" s="18" t="n">
        <x:v>27000</x:v>
      </x:c>
      <x:c r="M251" s="11" t="str">
        <x:v>Billetera digital</x:v>
      </x:c>
      <x:c r="N251" s="11" t="n">
        <x:v>69</x:v>
      </x:c>
      <x:c r="O251" s="11" t="str">
        <x:v>A tiempo</x:v>
      </x:c>
      <x:c r="P251" s="20" t="n">
        <x:v>2</x:v>
      </x:c>
      <x:c r="Q251" s="18" t="n">
        <x:f>I251*J251</x:f>
        <x:v>85400</x:v>
      </x:c>
      <x:c r="R251" s="18" t="n">
        <x:f>Q251*K251</x:f>
        <x:v>4270</x:v>
      </x:c>
      <x:c r="S251" s="18" t="n">
        <x:f>Q251-R251</x:f>
        <x:v>81130</x:v>
      </x:c>
      <x:c r="T251" s="18" t="n">
        <x:f>I251*L251</x:f>
        <x:v>54000</x:v>
      </x:c>
      <x:c r="U251" s="18" t="n">
        <x:f>S251-T251</x:f>
        <x:v>27130</x:v>
      </x:c>
    </x:row>
    <x:row r="252">
      <x:c r="A252" s="11" t="str">
        <x:v>V-0146</x:v>
      </x:c>
      <x:c r="B252" s="14" t="n">
        <x:v>46149</x:v>
      </x:c>
      <x:c r="C252" s="11" t="str">
        <x:v>Bogotá</x:v>
      </x:c>
      <x:c r="D252" s="11" t="str">
        <x:v>Web</x:v>
      </x:c>
      <x:c r="E252" s="11" t="str">
        <x:v>Hogar</x:v>
      </x:c>
      <x:c r="F252" s="11" t="str">
        <x:v>Kit limpieza</x:v>
      </x:c>
      <x:c r="G252" s="11" t="str">
        <x:v>C-0069</x:v>
      </x:c>
      <x:c r="H252" s="11" t="str">
        <x:v>Recurrente</x:v>
      </x:c>
      <x:c r="I252" s="11" t="n">
        <x:v>1</x:v>
      </x:c>
      <x:c r="J252" s="18" t="n">
        <x:v>24600</x:v>
      </x:c>
      <x:c r="K252" s="16" t="n">
        <x:v>0.15</x:v>
      </x:c>
      <x:c r="L252" s="18" t="n">
        <x:v>14900</x:v>
      </x:c>
      <x:c r="M252" s="11" t="str">
        <x:v>Tarjeta</x:v>
      </x:c>
      <x:c r="N252" s="11" t="n">
        <x:v>81</x:v>
      </x:c>
      <x:c r="O252" s="11" t="str">
        <x:v>Tardía</x:v>
      </x:c>
      <x:c r="P252" s="20" t="n">
        <x:v>3</x:v>
      </x:c>
      <x:c r="Q252" s="18" t="n">
        <x:f>I252*J252</x:f>
        <x:v>24600</x:v>
      </x:c>
      <x:c r="R252" s="18" t="n">
        <x:f>Q252*K252</x:f>
        <x:v>3690</x:v>
      </x:c>
      <x:c r="S252" s="18" t="n">
        <x:f>Q252-R252</x:f>
        <x:v>20910</x:v>
      </x:c>
      <x:c r="T252" s="18" t="n">
        <x:f>I252*L252</x:f>
        <x:v>14900</x:v>
      </x:c>
      <x:c r="U252" s="18" t="n">
        <x:f>S252-T252</x:f>
        <x:v>6010</x:v>
      </x:c>
    </x:row>
    <x:row r="253">
      <x:c r="A253" s="11" t="str">
        <x:v>V-0161</x:v>
      </x:c>
      <x:c r="B253" s="14" t="n">
        <x:v>46149</x:v>
      </x:c>
      <x:c r="C253" s="11" t="str">
        <x:v>Medellín</x:v>
      </x:c>
      <x:c r="D253" s="11" t="str">
        <x:v>Web</x:v>
      </x:c>
      <x:c r="E253" s="11" t="str">
        <x:v>Cuidado personal</x:v>
      </x:c>
      <x:c r="F253" s="11" t="str">
        <x:v>Kit cuidado</x:v>
      </x:c>
      <x:c r="G253" s="11" t="str">
        <x:v>C-0059</x:v>
      </x:c>
      <x:c r="H253" s="11" t="str">
        <x:v>Nuevo</x:v>
      </x:c>
      <x:c r="I253" s="11" t="n">
        <x:v>6</x:v>
      </x:c>
      <x:c r="J253" s="18" t="n">
        <x:v>42700</x:v>
      </x:c>
      <x:c r="K253" s="16" t="n">
        <x:v>0</x:v>
      </x:c>
      <x:c r="L253" s="18" t="n">
        <x:v>26400</x:v>
      </x:c>
      <x:c r="M253" s="11" t="str">
        <x:v>Tarjeta</x:v>
      </x:c>
      <x:c r="N253" s="11" t="n">
        <x:v>72</x:v>
      </x:c>
      <x:c r="O253" s="11" t="str">
        <x:v>Tardía</x:v>
      </x:c>
      <x:c r="P253" s="20" t="n">
        <x:v>5</x:v>
      </x:c>
      <x:c r="Q253" s="18" t="n">
        <x:f>I253*J253</x:f>
        <x:v>256200</x:v>
      </x:c>
      <x:c r="R253" s="18" t="n">
        <x:f>Q253*K253</x:f>
        <x:v>0</x:v>
      </x:c>
      <x:c r="S253" s="18" t="n">
        <x:f>Q253-R253</x:f>
        <x:v>256200</x:v>
      </x:c>
      <x:c r="T253" s="18" t="n">
        <x:f>I253*L253</x:f>
        <x:v>158400</x:v>
      </x:c>
      <x:c r="U253" s="18" t="n">
        <x:f>S253-T253</x:f>
        <x:v>97800</x:v>
      </x:c>
    </x:row>
    <x:row r="254">
      <x:c r="A254" s="11" t="str">
        <x:v>V-0178</x:v>
      </x:c>
      <x:c r="B254" s="14" t="n">
        <x:v>46149</x:v>
      </x:c>
      <x:c r="C254" s="11" t="str">
        <x:v>Neiva</x:v>
      </x:c>
      <x:c r="D254" s="11" t="str">
        <x:v>Tienda</x:v>
      </x:c>
      <x:c r="E254" s="11" t="str">
        <x:v>Cuidado personal</x:v>
      </x:c>
      <x:c r="F254" s="11" t="str">
        <x:v>Kit cuidado</x:v>
      </x:c>
      <x:c r="G254" s="11" t="str">
        <x:v>C-0033</x:v>
      </x:c>
      <x:c r="H254" s="11" t="str">
        <x:v>Nuevo</x:v>
      </x:c>
      <x:c r="I254" s="11" t="n">
        <x:v>5</x:v>
      </x:c>
      <x:c r="J254" s="18" t="n">
        <x:v>46800</x:v>
      </x:c>
      <x:c r="K254" s="16" t="n">
        <x:v>0</x:v>
      </x:c>
      <x:c r="L254" s="18" t="n">
        <x:v>29100</x:v>
      </x:c>
      <x:c r="M254" s="11" t="str">
        <x:v>Efectivo</x:v>
      </x:c>
      <x:c r="N254" s="11" t="n">
        <x:v>0</x:v>
      </x:c>
      <x:c r="O254" s="11" t="str">
        <x:v>No aplica</x:v>
      </x:c>
      <x:c r="P254" s="20" t="n">
        <x:v>5</x:v>
      </x:c>
      <x:c r="Q254" s="18" t="n">
        <x:f>I254*J254</x:f>
        <x:v>234000</x:v>
      </x:c>
      <x:c r="R254" s="18" t="n">
        <x:f>Q254*K254</x:f>
        <x:v>0</x:v>
      </x:c>
      <x:c r="S254" s="18" t="n">
        <x:f>Q254-R254</x:f>
        <x:v>234000</x:v>
      </x:c>
      <x:c r="T254" s="18" t="n">
        <x:f>I254*L254</x:f>
        <x:v>145500</x:v>
      </x:c>
      <x:c r="U254" s="18" t="n">
        <x:f>S254-T254</x:f>
        <x:v>88500</x:v>
      </x:c>
    </x:row>
    <x:row r="255">
      <x:c r="A255" s="11" t="str">
        <x:v>V-0182</x:v>
      </x:c>
      <x:c r="B255" s="14" t="n">
        <x:v>46149</x:v>
      </x:c>
      <x:c r="C255" s="11" t="str">
        <x:v>Florencia</x:v>
      </x:c>
      <x:c r="D255" s="11" t="str">
        <x:v>Tienda</x:v>
      </x:c>
      <x:c r="E255" s="11" t="str">
        <x:v>Cuidado personal</x:v>
      </x:c>
      <x:c r="F255" s="11" t="str">
        <x:v>Accesorio personal</x:v>
      </x:c>
      <x:c r="G255" s="11" t="str">
        <x:v>C-0113</x:v>
      </x:c>
      <x:c r="H255" s="11" t="str">
        <x:v>Nuevo</x:v>
      </x:c>
      <x:c r="I255" s="11" t="n">
        <x:v>5</x:v>
      </x:c>
      <x:c r="J255" s="18" t="n">
        <x:v>17700</x:v>
      </x:c>
      <x:c r="K255" s="16" t="n">
        <x:v>0.1</x:v>
      </x:c>
      <x:c r="L255" s="18" t="n">
        <x:v>10200</x:v>
      </x:c>
      <x:c r="M255" s="11" t="str">
        <x:v>Efectivo</x:v>
      </x:c>
      <x:c r="N255" s="11" t="n">
        <x:v>0</x:v>
      </x:c>
      <x:c r="O255" s="11" t="str">
        <x:v>No aplica</x:v>
      </x:c>
      <x:c r="P255" s="20" t="n">
        <x:v>5</x:v>
      </x:c>
      <x:c r="Q255" s="18" t="n">
        <x:f>I255*J255</x:f>
        <x:v>88500</x:v>
      </x:c>
      <x:c r="R255" s="18" t="n">
        <x:f>Q255*K255</x:f>
        <x:v>8850</x:v>
      </x:c>
      <x:c r="S255" s="18" t="n">
        <x:f>Q255-R255</x:f>
        <x:v>79650</x:v>
      </x:c>
      <x:c r="T255" s="18" t="n">
        <x:f>I255*L255</x:f>
        <x:v>51000</x:v>
      </x:c>
      <x:c r="U255" s="18" t="n">
        <x:f>S255-T255</x:f>
        <x:v>28650</x:v>
      </x:c>
    </x:row>
    <x:row r="256">
      <x:c r="A256" s="11" t="str">
        <x:v>V-0198</x:v>
      </x:c>
      <x:c r="B256" s="14" t="n">
        <x:v>46149</x:v>
      </x:c>
      <x:c r="C256" s="11" t="str">
        <x:v>Neiva</x:v>
      </x:c>
      <x:c r="D256" s="11" t="str">
        <x:v>Web</x:v>
      </x:c>
      <x:c r="E256" s="11" t="str">
        <x:v>Alimentos</x:v>
      </x:c>
      <x:c r="F256" s="11" t="str">
        <x:v>Producto gourmet</x:v>
      </x:c>
      <x:c r="G256" s="11" t="str">
        <x:v>C-0020</x:v>
      </x:c>
      <x:c r="H256" s="11" t="str">
        <x:v>Recurrente</x:v>
      </x:c>
      <x:c r="I256" s="11" t="n">
        <x:v>3</x:v>
      </x:c>
      <x:c r="J256" s="18" t="n">
        <x:v>34400</x:v>
      </x:c>
      <x:c r="K256" s="16" t="n">
        <x:v>0.15</x:v>
      </x:c>
      <x:c r="L256" s="18" t="n">
        <x:v>22400</x:v>
      </x:c>
      <x:c r="M256" s="11" t="str">
        <x:v>Billetera digital</x:v>
      </x:c>
      <x:c r="N256" s="11" t="n">
        <x:v>21</x:v>
      </x:c>
      <x:c r="O256" s="11" t="str">
        <x:v>A tiempo</x:v>
      </x:c>
      <x:c r="P256" s="20" t="n">
        <x:v>4</x:v>
      </x:c>
      <x:c r="Q256" s="18" t="n">
        <x:f>I256*J256</x:f>
        <x:v>103200</x:v>
      </x:c>
      <x:c r="R256" s="18" t="n">
        <x:f>Q256*K256</x:f>
        <x:v>15480</x:v>
      </x:c>
      <x:c r="S256" s="18" t="n">
        <x:f>Q256-R256</x:f>
        <x:v>87720</x:v>
      </x:c>
      <x:c r="T256" s="18" t="n">
        <x:f>I256*L256</x:f>
        <x:v>67200</x:v>
      </x:c>
      <x:c r="U256" s="18" t="n">
        <x:f>S256-T256</x:f>
        <x:v>20520</x:v>
      </x:c>
    </x:row>
    <x:row r="257">
      <x:c r="A257" s="11" t="str">
        <x:v>V-0174</x:v>
      </x:c>
      <x:c r="B257" s="14" t="n">
        <x:v>46150</x:v>
      </x:c>
      <x:c r="C257" s="11" t="str">
        <x:v>Medellín</x:v>
      </x:c>
      <x:c r="D257" s="11" t="str">
        <x:v>Web</x:v>
      </x:c>
      <x:c r="E257" s="11" t="str">
        <x:v>Bebidas</x:v>
      </x:c>
      <x:c r="F257" s="11" t="str">
        <x:v>Bebida fría</x:v>
      </x:c>
      <x:c r="G257" s="11" t="str">
        <x:v>C-0062</x:v>
      </x:c>
      <x:c r="H257" s="11" t="str">
        <x:v>Nuevo</x:v>
      </x:c>
      <x:c r="I257" s="11" t="n">
        <x:v>4</x:v>
      </x:c>
      <x:c r="J257" s="18" t="n">
        <x:v>7500</x:v>
      </x:c>
      <x:c r="K257" s="16" t="n">
        <x:v>0</x:v>
      </x:c>
      <x:c r="L257" s="18" t="n">
        <x:v>3900</x:v>
      </x:c>
      <x:c r="M257" s="11" t="str">
        <x:v>Efectivo</x:v>
      </x:c>
      <x:c r="N257" s="11" t="n">
        <x:v>49</x:v>
      </x:c>
      <x:c r="O257" s="11" t="str">
        <x:v>A tiempo</x:v>
      </x:c>
      <x:c r="P257" s="20" t="n">
        <x:v>5</x:v>
      </x:c>
      <x:c r="Q257" s="18" t="n">
        <x:f>I257*J257</x:f>
        <x:v>30000</x:v>
      </x:c>
      <x:c r="R257" s="18" t="n">
        <x:f>Q257*K257</x:f>
        <x:v>0</x:v>
      </x:c>
      <x:c r="S257" s="18" t="n">
        <x:f>Q257-R257</x:f>
        <x:v>30000</x:v>
      </x:c>
      <x:c r="T257" s="18" t="n">
        <x:f>I257*L257</x:f>
        <x:v>15600</x:v>
      </x:c>
      <x:c r="U257" s="18" t="n">
        <x:f>S257-T257</x:f>
        <x:v>14400</x:v>
      </x:c>
    </x:row>
    <x:row r="258">
      <x:c r="A258" s="11" t="str">
        <x:v>V-0387</x:v>
      </x:c>
      <x:c r="B258" s="14" t="n">
        <x:v>46150</x:v>
      </x:c>
      <x:c r="C258" s="11" t="str">
        <x:v>Cali</x:v>
      </x:c>
      <x:c r="D258" s="11" t="str">
        <x:v>Tienda</x:v>
      </x:c>
      <x:c r="E258" s="11" t="str">
        <x:v>Cuidado personal</x:v>
      </x:c>
      <x:c r="F258" s="11" t="str">
        <x:v>Accesorio personal</x:v>
      </x:c>
      <x:c r="G258" s="11" t="str">
        <x:v>C-0107</x:v>
      </x:c>
      <x:c r="H258" s="11" t="str">
        <x:v>Recurrente</x:v>
      </x:c>
      <x:c r="I258" s="11" t="n">
        <x:v>3</x:v>
      </x:c>
      <x:c r="J258" s="18" t="n">
        <x:v>19300</x:v>
      </x:c>
      <x:c r="K258" s="16" t="n">
        <x:v>0.1</x:v>
      </x:c>
      <x:c r="L258" s="18" t="n">
        <x:v>11000</x:v>
      </x:c>
      <x:c r="M258" s="11" t="str">
        <x:v>Efectivo</x:v>
      </x:c>
      <x:c r="N258" s="11" t="n">
        <x:v>0</x:v>
      </x:c>
      <x:c r="O258" s="11" t="str">
        <x:v>No aplica</x:v>
      </x:c>
      <x:c r="P258" s="20" t="n">
        <x:v>5</x:v>
      </x:c>
      <x:c r="Q258" s="18" t="n">
        <x:f>I258*J258</x:f>
        <x:v>57900</x:v>
      </x:c>
      <x:c r="R258" s="18" t="n">
        <x:f>Q258*K258</x:f>
        <x:v>5790</x:v>
      </x:c>
      <x:c r="S258" s="18" t="n">
        <x:f>Q258-R258</x:f>
        <x:v>52110</x:v>
      </x:c>
      <x:c r="T258" s="18" t="n">
        <x:f>I258*L258</x:f>
        <x:v>33000</x:v>
      </x:c>
      <x:c r="U258" s="18" t="n">
        <x:f>S258-T258</x:f>
        <x:v>19110</x:v>
      </x:c>
    </x:row>
    <x:row r="259">
      <x:c r="A259" s="11" t="str">
        <x:v>V-0003</x:v>
      </x:c>
      <x:c r="B259" s="14" t="n">
        <x:v>46151</x:v>
      </x:c>
      <x:c r="C259" s="11" t="str">
        <x:v>Neiva</x:v>
      </x:c>
      <x:c r="D259" s="11" t="str">
        <x:v>Tienda</x:v>
      </x:c>
      <x:c r="E259" s="11" t="str">
        <x:v>Hogar</x:v>
      </x:c>
      <x:c r="F259" s="11" t="str">
        <x:v>Kit limpieza</x:v>
      </x:c>
      <x:c r="G259" s="11" t="str">
        <x:v>C-0120</x:v>
      </x:c>
      <x:c r="H259" s="11" t="str">
        <x:v>Nuevo</x:v>
      </x:c>
      <x:c r="I259" s="11" t="n">
        <x:v>3</x:v>
      </x:c>
      <x:c r="J259" s="18" t="n">
        <x:v>26800</x:v>
      </x:c>
      <x:c r="K259" s="16" t="n">
        <x:v>0.1</x:v>
      </x:c>
      <x:c r="L259" s="18" t="n">
        <x:v>16400</x:v>
      </x:c>
      <x:c r="M259" s="11" t="str">
        <x:v>Tarjeta</x:v>
      </x:c>
      <x:c r="N259" s="11" t="n">
        <x:v>0</x:v>
      </x:c>
      <x:c r="O259" s="11" t="str">
        <x:v>No aplica</x:v>
      </x:c>
      <x:c r="P259" s="20" t="n">
        <x:v>5</x:v>
      </x:c>
      <x:c r="Q259" s="18" t="n">
        <x:f>I259*J259</x:f>
        <x:v>80400</x:v>
      </x:c>
      <x:c r="R259" s="18" t="n">
        <x:f>Q259*K259</x:f>
        <x:v>8040</x:v>
      </x:c>
      <x:c r="S259" s="18" t="n">
        <x:f>Q259-R259</x:f>
        <x:v>72360</x:v>
      </x:c>
      <x:c r="T259" s="18" t="n">
        <x:f>I259*L259</x:f>
        <x:v>49200</x:v>
      </x:c>
      <x:c r="U259" s="18" t="n">
        <x:f>S259-T259</x:f>
        <x:v>23160</x:v>
      </x:c>
    </x:row>
    <x:row r="260">
      <x:c r="A260" s="11" t="str">
        <x:v>V-0049</x:v>
      </x:c>
      <x:c r="B260" s="14" t="n">
        <x:v>46151</x:v>
      </x:c>
      <x:c r="C260" s="11" t="str">
        <x:v>Ibagué</x:v>
      </x:c>
      <x:c r="D260" s="11" t="str">
        <x:v>Tienda</x:v>
      </x:c>
      <x:c r="E260" s="11" t="str">
        <x:v>Cuidado personal</x:v>
      </x:c>
      <x:c r="F260" s="11" t="str">
        <x:v>Producto bienestar</x:v>
      </x:c>
      <x:c r="G260" s="11" t="str">
        <x:v>C-0067</x:v>
      </x:c>
      <x:c r="H260" s="11" t="str">
        <x:v>Recurrente</x:v>
      </x:c>
      <x:c r="I260" s="11" t="n">
        <x:v>4</x:v>
      </x:c>
      <x:c r="J260" s="18" t="n">
        <x:v>30400</x:v>
      </x:c>
      <x:c r="K260" s="16" t="n">
        <x:v>0</x:v>
      </x:c>
      <x:c r="L260" s="18" t="n">
        <x:v>18400</x:v>
      </x:c>
      <x:c r="M260" s="11" t="str">
        <x:v>Billetera digital</x:v>
      </x:c>
      <x:c r="N260" s="11" t="n">
        <x:v>0</x:v>
      </x:c>
      <x:c r="O260" s="11" t="str">
        <x:v>No aplica</x:v>
      </x:c>
      <x:c r="P260" s="20" t="n">
        <x:v>4</x:v>
      </x:c>
      <x:c r="Q260" s="18" t="n">
        <x:f>I260*J260</x:f>
        <x:v>121600</x:v>
      </x:c>
      <x:c r="R260" s="18" t="n">
        <x:f>Q260*K260</x:f>
        <x:v>0</x:v>
      </x:c>
      <x:c r="S260" s="18" t="n">
        <x:f>Q260-R260</x:f>
        <x:v>121600</x:v>
      </x:c>
      <x:c r="T260" s="18" t="n">
        <x:f>I260*L260</x:f>
        <x:v>73600</x:v>
      </x:c>
      <x:c r="U260" s="18" t="n">
        <x:f>S260-T260</x:f>
        <x:v>48000</x:v>
      </x:c>
    </x:row>
    <x:row r="261">
      <x:c r="A261" s="11" t="str">
        <x:v>V-0082</x:v>
      </x:c>
      <x:c r="B261" s="14" t="n">
        <x:v>46152</x:v>
      </x:c>
      <x:c r="C261" s="11" t="str">
        <x:v>Bogotá</x:v>
      </x:c>
      <x:c r="D261" s="11" t="str">
        <x:v>Tienda</x:v>
      </x:c>
      <x:c r="E261" s="11" t="str">
        <x:v>Alimentos</x:v>
      </x:c>
      <x:c r="F261" s="11" t="str">
        <x:v>Snack saludable</x:v>
      </x:c>
      <x:c r="G261" s="11" t="str">
        <x:v>C-0044</x:v>
      </x:c>
      <x:c r="H261" s="11" t="str">
        <x:v>Nuevo</x:v>
      </x:c>
      <x:c r="I261" s="11" t="n">
        <x:v>1</x:v>
      </x:c>
      <x:c r="J261" s="18" t="n">
        <x:v>8400</x:v>
      </x:c>
      <x:c r="K261" s="16" t="n">
        <x:v>0.1</x:v>
      </x:c>
      <x:c r="L261" s="18" t="n">
        <x:v>4800</x:v>
      </x:c>
      <x:c r="M261" s="11" t="str">
        <x:v>Billetera digital</x:v>
      </x:c>
      <x:c r="N261" s="11" t="n">
        <x:v>0</x:v>
      </x:c>
      <x:c r="O261" s="11" t="str">
        <x:v>No aplica</x:v>
      </x:c>
      <x:c r="P261" s="20" t="n">
        <x:v>5</x:v>
      </x:c>
      <x:c r="Q261" s="18" t="n">
        <x:f>I261*J261</x:f>
        <x:v>8400</x:v>
      </x:c>
      <x:c r="R261" s="18" t="n">
        <x:f>Q261*K261</x:f>
        <x:v>840</x:v>
      </x:c>
      <x:c r="S261" s="18" t="n">
        <x:f>Q261-R261</x:f>
        <x:v>7560</x:v>
      </x:c>
      <x:c r="T261" s="18" t="n">
        <x:f>I261*L261</x:f>
        <x:v>4800</x:v>
      </x:c>
      <x:c r="U261" s="18" t="n">
        <x:f>S261-T261</x:f>
        <x:v>2760</x:v>
      </x:c>
    </x:row>
    <x:row r="262">
      <x:c r="A262" s="11" t="str">
        <x:v>V-0424</x:v>
      </x:c>
      <x:c r="B262" s="14" t="n">
        <x:v>46152</x:v>
      </x:c>
      <x:c r="C262" s="11" t="str">
        <x:v>Ibagué</x:v>
      </x:c>
      <x:c r="D262" s="11" t="str">
        <x:v>Web</x:v>
      </x:c>
      <x:c r="E262" s="11" t="str">
        <x:v>Hogar</x:v>
      </x:c>
      <x:c r="F262" s="11" t="str">
        <x:v>Kit limpieza</x:v>
      </x:c>
      <x:c r="G262" s="11" t="str">
        <x:v>C-0106</x:v>
      </x:c>
      <x:c r="H262" s="11" t="str">
        <x:v>Recurrente</x:v>
      </x:c>
      <x:c r="I262" s="11" t="n">
        <x:v>3</x:v>
      </x:c>
      <x:c r="J262" s="18" t="n">
        <x:v>21700</x:v>
      </x:c>
      <x:c r="K262" s="16" t="n">
        <x:v>0</x:v>
      </x:c>
      <x:c r="L262" s="18" t="n">
        <x:v>12300</x:v>
      </x:c>
      <x:c r="M262" s="11" t="str">
        <x:v>Tarjeta</x:v>
      </x:c>
      <x:c r="N262" s="11" t="n">
        <x:v>52</x:v>
      </x:c>
      <x:c r="O262" s="11" t="str">
        <x:v>A tiempo</x:v>
      </x:c>
      <x:c r="P262" s="20" t="n">
        <x:v>4</x:v>
      </x:c>
      <x:c r="Q262" s="18" t="n">
        <x:f>I262*J262</x:f>
        <x:v>65100</x:v>
      </x:c>
      <x:c r="R262" s="18" t="n">
        <x:f>Q262*K262</x:f>
        <x:v>0</x:v>
      </x:c>
      <x:c r="S262" s="18" t="n">
        <x:f>Q262-R262</x:f>
        <x:v>65100</x:v>
      </x:c>
      <x:c r="T262" s="18" t="n">
        <x:f>I262*L262</x:f>
        <x:v>36900</x:v>
      </x:c>
      <x:c r="U262" s="18" t="n">
        <x:f>S262-T262</x:f>
        <x:v>28200</x:v>
      </x:c>
    </x:row>
    <x:row r="263">
      <x:c r="A263" s="11" t="str">
        <x:v>V-0009</x:v>
      </x:c>
      <x:c r="B263" s="14" t="n">
        <x:v>46153</x:v>
      </x:c>
      <x:c r="C263" s="11" t="str">
        <x:v>Ibagué</x:v>
      </x:c>
      <x:c r="D263" s="11" t="str">
        <x:v>Web</x:v>
      </x:c>
      <x:c r="E263" s="11" t="str">
        <x:v>Alimentos</x:v>
      </x:c>
      <x:c r="F263" s="11" t="str">
        <x:v>Snack saludable</x:v>
      </x:c>
      <x:c r="G263" s="11" t="str">
        <x:v>C-0012</x:v>
      </x:c>
      <x:c r="H263" s="11" t="str">
        <x:v>Nuevo</x:v>
      </x:c>
      <x:c r="I263" s="11" t="n">
        <x:v>1</x:v>
      </x:c>
      <x:c r="J263" s="18" t="n">
        <x:v>7900</x:v>
      </x:c>
      <x:c r="K263" s="16" t="n">
        <x:v>0.2</x:v>
      </x:c>
      <x:c r="L263" s="18" t="n">
        <x:v>4400</x:v>
      </x:c>
      <x:c r="M263" s="11" t="str">
        <x:v>Billetera digital</x:v>
      </x:c>
      <x:c r="N263" s="11" t="n">
        <x:v>48</x:v>
      </x:c>
      <x:c r="O263" s="11" t="str">
        <x:v>A tiempo</x:v>
      </x:c>
      <x:c r="P263" s="20" t="n">
        <x:v>4</x:v>
      </x:c>
      <x:c r="Q263" s="18" t="n">
        <x:f>I263*J263</x:f>
        <x:v>7900</x:v>
      </x:c>
      <x:c r="R263" s="18" t="n">
        <x:f>Q263*K263</x:f>
        <x:v>1580</x:v>
      </x:c>
      <x:c r="S263" s="18" t="n">
        <x:f>Q263-R263</x:f>
        <x:v>6320</x:v>
      </x:c>
      <x:c r="T263" s="18" t="n">
        <x:f>I263*L263</x:f>
        <x:v>4400</x:v>
      </x:c>
      <x:c r="U263" s="18" t="n">
        <x:f>S263-T263</x:f>
        <x:v>1920</x:v>
      </x:c>
    </x:row>
    <x:row r="264">
      <x:c r="A264" s="11" t="str">
        <x:v>V-0071</x:v>
      </x:c>
      <x:c r="B264" s="14" t="n">
        <x:v>46153</x:v>
      </x:c>
      <x:c r="C264" s="11" t="str">
        <x:v>Ibagué</x:v>
      </x:c>
      <x:c r="D264" s="11" t="str">
        <x:v>Tienda</x:v>
      </x:c>
      <x:c r="E264" s="11" t="str">
        <x:v>Bebidas</x:v>
      </x:c>
      <x:c r="F264" s="11" t="str">
        <x:v>Bebida fría</x:v>
      </x:c>
      <x:c r="G264" s="11" t="str">
        <x:v>C-0003</x:v>
      </x:c>
      <x:c r="H264" s="11" t="str">
        <x:v>Nuevo</x:v>
      </x:c>
      <x:c r="I264" s="11" t="n">
        <x:v>2</x:v>
      </x:c>
      <x:c r="J264" s="18" t="n">
        <x:v>7200</x:v>
      </x:c>
      <x:c r="K264" s="16" t="n">
        <x:v>0.15</x:v>
      </x:c>
      <x:c r="L264" s="18" t="n">
        <x:v>3800</x:v>
      </x:c>
      <x:c r="M264" s="11" t="str">
        <x:v>Transferencia</x:v>
      </x:c>
      <x:c r="N264" s="11" t="n">
        <x:v>0</x:v>
      </x:c>
      <x:c r="O264" s="11" t="str">
        <x:v>No aplica</x:v>
      </x:c>
      <x:c r="P264" s="20" t="n">
        <x:v>5</x:v>
      </x:c>
      <x:c r="Q264" s="18" t="n">
        <x:f>I264*J264</x:f>
        <x:v>14400</x:v>
      </x:c>
      <x:c r="R264" s="18" t="n">
        <x:f>Q264*K264</x:f>
        <x:v>2160</x:v>
      </x:c>
      <x:c r="S264" s="18" t="n">
        <x:f>Q264-R264</x:f>
        <x:v>12240</x:v>
      </x:c>
      <x:c r="T264" s="18" t="n">
        <x:f>I264*L264</x:f>
        <x:v>7600</x:v>
      </x:c>
      <x:c r="U264" s="18" t="n">
        <x:f>S264-T264</x:f>
        <x:v>4640</x:v>
      </x:c>
    </x:row>
    <x:row r="265">
      <x:c r="A265" s="11" t="str">
        <x:v>V-0253</x:v>
      </x:c>
      <x:c r="B265" s="14" t="n">
        <x:v>46153</x:v>
      </x:c>
      <x:c r="C265" s="11" t="str">
        <x:v>Neiva</x:v>
      </x:c>
      <x:c r="D265" s="11" t="str">
        <x:v>App</x:v>
      </x:c>
      <x:c r="E265" s="11" t="str">
        <x:v>Bebidas</x:v>
      </x:c>
      <x:c r="F265" s="11" t="str">
        <x:v>Bebida fría</x:v>
      </x:c>
      <x:c r="G265" s="11" t="str">
        <x:v>C-0120</x:v>
      </x:c>
      <x:c r="H265" s="11" t="str">
        <x:v>Recurrente</x:v>
      </x:c>
      <x:c r="I265" s="11" t="n">
        <x:v>2</x:v>
      </x:c>
      <x:c r="J265" s="18" t="n">
        <x:v>7100</x:v>
      </x:c>
      <x:c r="K265" s="16" t="n">
        <x:v>0.15</x:v>
      </x:c>
      <x:c r="L265" s="18" t="n">
        <x:v>3700</x:v>
      </x:c>
      <x:c r="M265" s="11" t="str">
        <x:v>Billetera digital</x:v>
      </x:c>
      <x:c r="N265" s="11" t="n">
        <x:v>52</x:v>
      </x:c>
      <x:c r="O265" s="11" t="str">
        <x:v>A tiempo</x:v>
      </x:c>
      <x:c r="P265" s="20" t="n">
        <x:v>3</x:v>
      </x:c>
      <x:c r="Q265" s="18" t="n">
        <x:f>I265*J265</x:f>
        <x:v>14200</x:v>
      </x:c>
      <x:c r="R265" s="18" t="n">
        <x:f>Q265*K265</x:f>
        <x:v>2130</x:v>
      </x:c>
      <x:c r="S265" s="18" t="n">
        <x:f>Q265-R265</x:f>
        <x:v>12070</x:v>
      </x:c>
      <x:c r="T265" s="18" t="n">
        <x:f>I265*L265</x:f>
        <x:v>7400</x:v>
      </x:c>
      <x:c r="U265" s="18" t="n">
        <x:f>S265-T265</x:f>
        <x:v>4670</x:v>
      </x:c>
    </x:row>
    <x:row r="266">
      <x:c r="A266" s="11" t="str">
        <x:v>V-0300</x:v>
      </x:c>
      <x:c r="B266" s="14" t="n">
        <x:v>46154</x:v>
      </x:c>
      <x:c r="C266" s="11" t="str">
        <x:v>Ibagué</x:v>
      </x:c>
      <x:c r="D266" s="11" t="str">
        <x:v>Tienda</x:v>
      </x:c>
      <x:c r="E266" s="11" t="str">
        <x:v>Alimentos</x:v>
      </x:c>
      <x:c r="F266" s="11" t="str">
        <x:v>Producto gourmet</x:v>
      </x:c>
      <x:c r="G266" s="11" t="str">
        <x:v>C-0015</x:v>
      </x:c>
      <x:c r="H266" s="11" t="str">
        <x:v>Recurrente</x:v>
      </x:c>
      <x:c r="I266" s="11" t="n">
        <x:v>1</x:v>
      </x:c>
      <x:c r="J266" s="18" t="n">
        <x:v>28600</x:v>
      </x:c>
      <x:c r="K266" s="16" t="n">
        <x:v>0.2</x:v>
      </x:c>
      <x:c r="L266" s="18" t="n">
        <x:v>18500</x:v>
      </x:c>
      <x:c r="M266" s="11" t="str">
        <x:v>Tarjeta</x:v>
      </x:c>
      <x:c r="N266" s="11" t="n">
        <x:v>0</x:v>
      </x:c>
      <x:c r="O266" s="11" t="str">
        <x:v>No aplica</x:v>
      </x:c>
      <x:c r="P266" s="20" t="n">
        <x:v>5</x:v>
      </x:c>
      <x:c r="Q266" s="18" t="n">
        <x:f>I266*J266</x:f>
        <x:v>28600</x:v>
      </x:c>
      <x:c r="R266" s="18" t="n">
        <x:f>Q266*K266</x:f>
        <x:v>5720</x:v>
      </x:c>
      <x:c r="S266" s="18" t="n">
        <x:f>Q266-R266</x:f>
        <x:v>22880</x:v>
      </x:c>
      <x:c r="T266" s="18" t="n">
        <x:f>I266*L266</x:f>
        <x:v>18500</x:v>
      </x:c>
      <x:c r="U266" s="18" t="n">
        <x:f>S266-T266</x:f>
        <x:v>4380</x:v>
      </x:c>
    </x:row>
    <x:row r="267">
      <x:c r="A267" s="11" t="str">
        <x:v>V-0333</x:v>
      </x:c>
      <x:c r="B267" s="14" t="n">
        <x:v>46154</x:v>
      </x:c>
      <x:c r="C267" s="11" t="str">
        <x:v>Medellín</x:v>
      </x:c>
      <x:c r="D267" s="11" t="str">
        <x:v>Web</x:v>
      </x:c>
      <x:c r="E267" s="11" t="str">
        <x:v>Alimentos</x:v>
      </x:c>
      <x:c r="F267" s="11" t="str">
        <x:v>Snack saludable</x:v>
      </x:c>
      <x:c r="G267" s="11" t="str">
        <x:v>C-0112</x:v>
      </x:c>
      <x:c r="H267" s="11" t="str">
        <x:v>Recurrente</x:v>
      </x:c>
      <x:c r="I267" s="11" t="n">
        <x:v>1</x:v>
      </x:c>
      <x:c r="J267" s="18" t="n">
        <x:v>9500</x:v>
      </x:c>
      <x:c r="K267" s="16" t="n">
        <x:v>0</x:v>
      </x:c>
      <x:c r="L267" s="18" t="n">
        <x:v>5300</x:v>
      </x:c>
      <x:c r="M267" s="11" t="str">
        <x:v>Tarjeta</x:v>
      </x:c>
      <x:c r="N267" s="11" t="n">
        <x:v>78</x:v>
      </x:c>
      <x:c r="O267" s="11" t="str">
        <x:v>Tardía</x:v>
      </x:c>
      <x:c r="P267" s="20" t="n">
        <x:v>5</x:v>
      </x:c>
      <x:c r="Q267" s="18" t="n">
        <x:f>I267*J267</x:f>
        <x:v>9500</x:v>
      </x:c>
      <x:c r="R267" s="18" t="n">
        <x:f>Q267*K267</x:f>
        <x:v>0</x:v>
      </x:c>
      <x:c r="S267" s="18" t="n">
        <x:f>Q267-R267</x:f>
        <x:v>9500</x:v>
      </x:c>
      <x:c r="T267" s="18" t="n">
        <x:f>I267*L267</x:f>
        <x:v>5300</x:v>
      </x:c>
      <x:c r="U267" s="18" t="n">
        <x:f>S267-T267</x:f>
        <x:v>4200</x:v>
      </x:c>
    </x:row>
    <x:row r="268">
      <x:c r="A268" s="11" t="str">
        <x:v>V-0068</x:v>
      </x:c>
      <x:c r="B268" s="14" t="n">
        <x:v>46155</x:v>
      </x:c>
      <x:c r="C268" s="11" t="str">
        <x:v>Cali</x:v>
      </x:c>
      <x:c r="D268" s="11" t="str">
        <x:v>Tienda</x:v>
      </x:c>
      <x:c r="E268" s="11" t="str">
        <x:v>Bebidas</x:v>
      </x:c>
      <x:c r="F268" s="11" t="str">
        <x:v>Bebida caliente</x:v>
      </x:c>
      <x:c r="G268" s="11" t="str">
        <x:v>C-0035</x:v>
      </x:c>
      <x:c r="H268" s="11" t="str">
        <x:v>Nuevo</x:v>
      </x:c>
      <x:c r="I268" s="11" t="n">
        <x:v>2</x:v>
      </x:c>
      <x:c r="J268" s="18" t="n">
        <x:v>6300</x:v>
      </x:c>
      <x:c r="K268" s="16" t="n">
        <x:v>0.05</x:v>
      </x:c>
      <x:c r="L268" s="18" t="n">
        <x:v>3000</x:v>
      </x:c>
      <x:c r="M268" s="11" t="str">
        <x:v>Efectivo</x:v>
      </x:c>
      <x:c r="N268" s="11" t="n">
        <x:v>0</x:v>
      </x:c>
      <x:c r="O268" s="11" t="str">
        <x:v>No aplica</x:v>
      </x:c>
      <x:c r="P268" s="20" t="n">
        <x:v>5</x:v>
      </x:c>
      <x:c r="Q268" s="18" t="n">
        <x:f>I268*J268</x:f>
        <x:v>12600</x:v>
      </x:c>
      <x:c r="R268" s="18" t="n">
        <x:f>Q268*K268</x:f>
        <x:v>630</x:v>
      </x:c>
      <x:c r="S268" s="18" t="n">
        <x:f>Q268-R268</x:f>
        <x:v>11970</x:v>
      </x:c>
      <x:c r="T268" s="18" t="n">
        <x:f>I268*L268</x:f>
        <x:v>6000</x:v>
      </x:c>
      <x:c r="U268" s="18" t="n">
        <x:f>S268-T268</x:f>
        <x:v>5970</x:v>
      </x:c>
    </x:row>
    <x:row r="269">
      <x:c r="A269" s="11" t="str">
        <x:v>V-0104</x:v>
      </x:c>
      <x:c r="B269" s="14" t="n">
        <x:v>46156</x:v>
      </x:c>
      <x:c r="C269" s="11" t="str">
        <x:v>Cali</x:v>
      </x:c>
      <x:c r="D269" s="11" t="str">
        <x:v>Tienda</x:v>
      </x:c>
      <x:c r="E269" s="11" t="str">
        <x:v>Bebidas</x:v>
      </x:c>
      <x:c r="F269" s="11" t="str">
        <x:v>Bebida premium</x:v>
      </x:c>
      <x:c r="G269" s="11" t="str">
        <x:v>C-0097</x:v>
      </x:c>
      <x:c r="H269" s="11" t="str">
        <x:v>Recurrente</x:v>
      </x:c>
      <x:c r="I269" s="11" t="n">
        <x:v>4</x:v>
      </x:c>
      <x:c r="J269" s="18" t="n">
        <x:v>13400</x:v>
      </x:c>
      <x:c r="K269" s="16" t="n">
        <x:v>0</x:v>
      </x:c>
      <x:c r="L269" s="18" t="n">
        <x:v>7400</x:v>
      </x:c>
      <x:c r="M269" s="11" t="str">
        <x:v>Efectivo</x:v>
      </x:c>
      <x:c r="N269" s="11" t="n">
        <x:v>0</x:v>
      </x:c>
      <x:c r="O269" s="11" t="str">
        <x:v>No aplica</x:v>
      </x:c>
      <x:c r="P269" s="20" t="n">
        <x:v>5</x:v>
      </x:c>
      <x:c r="Q269" s="18" t="n">
        <x:f>I269*J269</x:f>
        <x:v>53600</x:v>
      </x:c>
      <x:c r="R269" s="18" t="n">
        <x:f>Q269*K269</x:f>
        <x:v>0</x:v>
      </x:c>
      <x:c r="S269" s="18" t="n">
        <x:f>Q269-R269</x:f>
        <x:v>53600</x:v>
      </x:c>
      <x:c r="T269" s="18" t="n">
        <x:f>I269*L269</x:f>
        <x:v>29600</x:v>
      </x:c>
      <x:c r="U269" s="18" t="n">
        <x:f>S269-T269</x:f>
        <x:v>24000</x:v>
      </x:c>
    </x:row>
    <x:row r="270">
      <x:c r="A270" s="11" t="str">
        <x:v>V-0251</x:v>
      </x:c>
      <x:c r="B270" s="14" t="n">
        <x:v>46156</x:v>
      </x:c>
      <x:c r="C270" s="11" t="str">
        <x:v>Florencia</x:v>
      </x:c>
      <x:c r="D270" s="11" t="str">
        <x:v>App</x:v>
      </x:c>
      <x:c r="E270" s="11" t="str">
        <x:v>Bebidas</x:v>
      </x:c>
      <x:c r="F270" s="11" t="str">
        <x:v>Bebida caliente</x:v>
      </x:c>
      <x:c r="G270" s="11" t="str">
        <x:v>C-0106</x:v>
      </x:c>
      <x:c r="H270" s="11" t="str">
        <x:v>Recurrente</x:v>
      </x:c>
      <x:c r="I270" s="11" t="n">
        <x:v>3</x:v>
      </x:c>
      <x:c r="J270" s="18" t="n">
        <x:v>7000</x:v>
      </x:c>
      <x:c r="K270" s="16" t="n">
        <x:v>0</x:v>
      </x:c>
      <x:c r="L270" s="18" t="n">
        <x:v>3200</x:v>
      </x:c>
      <x:c r="M270" s="11" t="str">
        <x:v>Transferencia</x:v>
      </x:c>
      <x:c r="N270" s="11" t="n">
        <x:v>64</x:v>
      </x:c>
      <x:c r="O270" s="11" t="str">
        <x:v>A tiempo</x:v>
      </x:c>
      <x:c r="P270" s="20" t="n">
        <x:v>4</x:v>
      </x:c>
      <x:c r="Q270" s="18" t="n">
        <x:f>I270*J270</x:f>
        <x:v>21000</x:v>
      </x:c>
      <x:c r="R270" s="18" t="n">
        <x:f>Q270*K270</x:f>
        <x:v>0</x:v>
      </x:c>
      <x:c r="S270" s="18" t="n">
        <x:f>Q270-R270</x:f>
        <x:v>21000</x:v>
      </x:c>
      <x:c r="T270" s="18" t="n">
        <x:f>I270*L270</x:f>
        <x:v>9600</x:v>
      </x:c>
      <x:c r="U270" s="18" t="n">
        <x:f>S270-T270</x:f>
        <x:v>11400</x:v>
      </x:c>
    </x:row>
    <x:row r="271">
      <x:c r="A271" s="11" t="str">
        <x:v>V-0408</x:v>
      </x:c>
      <x:c r="B271" s="14" t="n">
        <x:v>46156</x:v>
      </x:c>
      <x:c r="C271" s="11" t="str">
        <x:v>Neiva</x:v>
      </x:c>
      <x:c r="D271" s="11" t="str">
        <x:v>Tienda</x:v>
      </x:c>
      <x:c r="E271" s="11" t="str">
        <x:v>Bebidas</x:v>
      </x:c>
      <x:c r="F271" s="11" t="str">
        <x:v>Bebida premium</x:v>
      </x:c>
      <x:c r="G271" s="11" t="str">
        <x:v>C-0112</x:v>
      </x:c>
      <x:c r="H271" s="11" t="str">
        <x:v>Recurrente</x:v>
      </x:c>
      <x:c r="I271" s="11" t="n">
        <x:v>1</x:v>
      </x:c>
      <x:c r="J271" s="18" t="n">
        <x:v>13100</x:v>
      </x:c>
      <x:c r="K271" s="16" t="n">
        <x:v>0</x:v>
      </x:c>
      <x:c r="L271" s="18" t="n">
        <x:v>7600</x:v>
      </x:c>
      <x:c r="M271" s="11" t="str">
        <x:v>Billetera digital</x:v>
      </x:c>
      <x:c r="N271" s="11" t="n">
        <x:v>0</x:v>
      </x:c>
      <x:c r="O271" s="11" t="str">
        <x:v>No aplica</x:v>
      </x:c>
      <x:c r="P271" s="20" t="n">
        <x:v>4</x:v>
      </x:c>
      <x:c r="Q271" s="18" t="n">
        <x:f>I271*J271</x:f>
        <x:v>13100</x:v>
      </x:c>
      <x:c r="R271" s="18" t="n">
        <x:f>Q271*K271</x:f>
        <x:v>0</x:v>
      </x:c>
      <x:c r="S271" s="18" t="n">
        <x:f>Q271-R271</x:f>
        <x:v>13100</x:v>
      </x:c>
      <x:c r="T271" s="18" t="n">
        <x:f>I271*L271</x:f>
        <x:v>7600</x:v>
      </x:c>
      <x:c r="U271" s="18" t="n">
        <x:f>S271-T271</x:f>
        <x:v>5500</x:v>
      </x:c>
    </x:row>
    <x:row r="272">
      <x:c r="A272" s="11" t="str">
        <x:v>V-0162</x:v>
      </x:c>
      <x:c r="B272" s="14" t="n">
        <x:v>46157</x:v>
      </x:c>
      <x:c r="C272" s="11" t="str">
        <x:v>Neiva</x:v>
      </x:c>
      <x:c r="D272" s="11" t="str">
        <x:v>Tienda</x:v>
      </x:c>
      <x:c r="E272" s="11" t="str">
        <x:v>Alimentos</x:v>
      </x:c>
      <x:c r="F272" s="11" t="str">
        <x:v>Producto gourmet</x:v>
      </x:c>
      <x:c r="G272" s="11" t="str">
        <x:v>C-0110</x:v>
      </x:c>
      <x:c r="H272" s="11" t="str">
        <x:v>Nuevo</x:v>
      </x:c>
      <x:c r="I272" s="11" t="n">
        <x:v>3</x:v>
      </x:c>
      <x:c r="J272" s="18" t="n">
        <x:v>31000</x:v>
      </x:c>
      <x:c r="K272" s="16" t="n">
        <x:v>0</x:v>
      </x:c>
      <x:c r="L272" s="18" t="n">
        <x:v>20700</x:v>
      </x:c>
      <x:c r="M272" s="11" t="str">
        <x:v>Efectivo</x:v>
      </x:c>
      <x:c r="N272" s="11" t="n">
        <x:v>0</x:v>
      </x:c>
      <x:c r="O272" s="11" t="str">
        <x:v>No aplica</x:v>
      </x:c>
      <x:c r="P272" s="20" t="n">
        <x:v>5</x:v>
      </x:c>
      <x:c r="Q272" s="18" t="n">
        <x:f>I272*J272</x:f>
        <x:v>93000</x:v>
      </x:c>
      <x:c r="R272" s="18" t="n">
        <x:f>Q272*K272</x:f>
        <x:v>0</x:v>
      </x:c>
      <x:c r="S272" s="18" t="n">
        <x:f>Q272-R272</x:f>
        <x:v>93000</x:v>
      </x:c>
      <x:c r="T272" s="18" t="n">
        <x:f>I272*L272</x:f>
        <x:v>62100</x:v>
      </x:c>
      <x:c r="U272" s="18" t="n">
        <x:f>S272-T272</x:f>
        <x:v>30900</x:v>
      </x:c>
    </x:row>
    <x:row r="273">
      <x:c r="A273" s="11" t="str">
        <x:v>V-0165</x:v>
      </x:c>
      <x:c r="B273" s="14" t="n">
        <x:v>46157</x:v>
      </x:c>
      <x:c r="C273" s="11" t="str">
        <x:v>Neiva</x:v>
      </x:c>
      <x:c r="D273" s="11" t="str">
        <x:v>Web</x:v>
      </x:c>
      <x:c r="E273" s="11" t="str">
        <x:v>Bebidas</x:v>
      </x:c>
      <x:c r="F273" s="11" t="str">
        <x:v>Bebida premium</x:v>
      </x:c>
      <x:c r="G273" s="11" t="str">
        <x:v>C-0099</x:v>
      </x:c>
      <x:c r="H273" s="11" t="str">
        <x:v>Recurrente</x:v>
      </x:c>
      <x:c r="I273" s="11" t="n">
        <x:v>5</x:v>
      </x:c>
      <x:c r="J273" s="18" t="n">
        <x:v>14700</x:v>
      </x:c>
      <x:c r="K273" s="16" t="n">
        <x:v>0</x:v>
      </x:c>
      <x:c r="L273" s="18" t="n">
        <x:v>8300</x:v>
      </x:c>
      <x:c r="M273" s="11" t="str">
        <x:v>Transferencia</x:v>
      </x:c>
      <x:c r="N273" s="11" t="n">
        <x:v>71</x:v>
      </x:c>
      <x:c r="O273" s="11" t="str">
        <x:v>Tardía</x:v>
      </x:c>
      <x:c r="P273" s="20" t="n">
        <x:v>4</x:v>
      </x:c>
      <x:c r="Q273" s="18" t="n">
        <x:f>I273*J273</x:f>
        <x:v>73500</x:v>
      </x:c>
      <x:c r="R273" s="18" t="n">
        <x:f>Q273*K273</x:f>
        <x:v>0</x:v>
      </x:c>
      <x:c r="S273" s="18" t="n">
        <x:f>Q273-R273</x:f>
        <x:v>73500</x:v>
      </x:c>
      <x:c r="T273" s="18" t="n">
        <x:f>I273*L273</x:f>
        <x:v>41500</x:v>
      </x:c>
      <x:c r="U273" s="18" t="n">
        <x:f>S273-T273</x:f>
        <x:v>32000</x:v>
      </x:c>
    </x:row>
    <x:row r="274">
      <x:c r="A274" s="11" t="str">
        <x:v>V-0257</x:v>
      </x:c>
      <x:c r="B274" s="14" t="n">
        <x:v>46157</x:v>
      </x:c>
      <x:c r="C274" s="11" t="str">
        <x:v>Ibagué</x:v>
      </x:c>
      <x:c r="D274" s="11" t="str">
        <x:v>Tienda</x:v>
      </x:c>
      <x:c r="E274" s="11" t="str">
        <x:v>Bebidas</x:v>
      </x:c>
      <x:c r="F274" s="11" t="str">
        <x:v>Bebida caliente</x:v>
      </x:c>
      <x:c r="G274" s="11" t="str">
        <x:v>C-0053</x:v>
      </x:c>
      <x:c r="H274" s="11" t="str">
        <x:v>Recurrente</x:v>
      </x:c>
      <x:c r="I274" s="11" t="n">
        <x:v>2</x:v>
      </x:c>
      <x:c r="J274" s="18" t="n">
        <x:v>6200</x:v>
      </x:c>
      <x:c r="K274" s="16" t="n">
        <x:v>0</x:v>
      </x:c>
      <x:c r="L274" s="18" t="n">
        <x:v>2900</x:v>
      </x:c>
      <x:c r="M274" s="11" t="str">
        <x:v>Billetera digital</x:v>
      </x:c>
      <x:c r="N274" s="11" t="n">
        <x:v>0</x:v>
      </x:c>
      <x:c r="O274" s="11" t="str">
        <x:v>No aplica</x:v>
      </x:c>
      <x:c r="P274" s="20" t="n">
        <x:v>4</x:v>
      </x:c>
      <x:c r="Q274" s="18" t="n">
        <x:f>I274*J274</x:f>
        <x:v>12400</x:v>
      </x:c>
      <x:c r="R274" s="18" t="n">
        <x:f>Q274*K274</x:f>
        <x:v>0</x:v>
      </x:c>
      <x:c r="S274" s="18" t="n">
        <x:f>Q274-R274</x:f>
        <x:v>12400</x:v>
      </x:c>
      <x:c r="T274" s="18" t="n">
        <x:f>I274*L274</x:f>
        <x:v>5800</x:v>
      </x:c>
      <x:c r="U274" s="18" t="n">
        <x:f>S274-T274</x:f>
        <x:v>6600</x:v>
      </x:c>
    </x:row>
    <x:row r="275">
      <x:c r="A275" s="11" t="str">
        <x:v>V-0393</x:v>
      </x:c>
      <x:c r="B275" s="14" t="n">
        <x:v>46157</x:v>
      </x:c>
      <x:c r="C275" s="11" t="str">
        <x:v>Bogotá</x:v>
      </x:c>
      <x:c r="D275" s="11" t="str">
        <x:v>Tienda</x:v>
      </x:c>
      <x:c r="E275" s="11" t="str">
        <x:v>Bebidas</x:v>
      </x:c>
      <x:c r="F275" s="11" t="str">
        <x:v>Bebida premium</x:v>
      </x:c>
      <x:c r="G275" s="11" t="str">
        <x:v>C-0119</x:v>
      </x:c>
      <x:c r="H275" s="11" t="str">
        <x:v>Recurrente</x:v>
      </x:c>
      <x:c r="I275" s="11" t="n">
        <x:v>2</x:v>
      </x:c>
      <x:c r="J275" s="18" t="n">
        <x:v>14700</x:v>
      </x:c>
      <x:c r="K275" s="16" t="n">
        <x:v>0</x:v>
      </x:c>
      <x:c r="L275" s="18" t="n">
        <x:v>8100</x:v>
      </x:c>
      <x:c r="M275" s="11" t="str">
        <x:v>Transferencia</x:v>
      </x:c>
      <x:c r="N275" s="11" t="n">
        <x:v>0</x:v>
      </x:c>
      <x:c r="O275" s="11" t="str">
        <x:v>No aplica</x:v>
      </x:c>
      <x:c r="P275" s="20" t="n">
        <x:v>4</x:v>
      </x:c>
      <x:c r="Q275" s="18" t="n">
        <x:f>I275*J275</x:f>
        <x:v>29400</x:v>
      </x:c>
      <x:c r="R275" s="18" t="n">
        <x:f>Q275*K275</x:f>
        <x:v>0</x:v>
      </x:c>
      <x:c r="S275" s="18" t="n">
        <x:f>Q275-R275</x:f>
        <x:v>29400</x:v>
      </x:c>
      <x:c r="T275" s="18" t="n">
        <x:f>I275*L275</x:f>
        <x:v>16200</x:v>
      </x:c>
      <x:c r="U275" s="18" t="n">
        <x:f>S275-T275</x:f>
        <x:v>13200</x:v>
      </x:c>
    </x:row>
    <x:row r="276">
      <x:c r="A276" s="11" t="str">
        <x:v>V-0226</x:v>
      </x:c>
      <x:c r="B276" s="14" t="n">
        <x:v>46158</x:v>
      </x:c>
      <x:c r="C276" s="11" t="str">
        <x:v>Bogotá</x:v>
      </x:c>
      <x:c r="D276" s="11" t="str">
        <x:v>Web</x:v>
      </x:c>
      <x:c r="E276" s="11" t="str">
        <x:v>Alimentos</x:v>
      </x:c>
      <x:c r="F276" s="11" t="str">
        <x:v>Snack saludable</x:v>
      </x:c>
      <x:c r="G276" s="11" t="str">
        <x:v>C-0097</x:v>
      </x:c>
      <x:c r="H276" s="11" t="str">
        <x:v>Recurrente</x:v>
      </x:c>
      <x:c r="I276" s="11" t="n">
        <x:v>1</x:v>
      </x:c>
      <x:c r="J276" s="18" t="n">
        <x:v>7800</x:v>
      </x:c>
      <x:c r="K276" s="16" t="n">
        <x:v>0.15</x:v>
      </x:c>
      <x:c r="L276" s="18" t="n">
        <x:v>4500</x:v>
      </x:c>
      <x:c r="M276" s="11" t="str">
        <x:v>Billetera digital</x:v>
      </x:c>
      <x:c r="N276" s="11" t="n">
        <x:v>67</x:v>
      </x:c>
      <x:c r="O276" s="11" t="str">
        <x:v>Tardía</x:v>
      </x:c>
      <x:c r="P276" s="20" t="n">
        <x:v>4</x:v>
      </x:c>
      <x:c r="Q276" s="18" t="n">
        <x:f>I276*J276</x:f>
        <x:v>7800</x:v>
      </x:c>
      <x:c r="R276" s="18" t="n">
        <x:f>Q276*K276</x:f>
        <x:v>1170</x:v>
      </x:c>
      <x:c r="S276" s="18" t="n">
        <x:f>Q276-R276</x:f>
        <x:v>6630</x:v>
      </x:c>
      <x:c r="T276" s="18" t="n">
        <x:f>I276*L276</x:f>
        <x:v>4500</x:v>
      </x:c>
      <x:c r="U276" s="18" t="n">
        <x:f>S276-T276</x:f>
        <x:v>2130</x:v>
      </x:c>
    </x:row>
    <x:row r="277">
      <x:c r="A277" s="11" t="str">
        <x:v>V-0248</x:v>
      </x:c>
      <x:c r="B277" s="14" t="n">
        <x:v>46158</x:v>
      </x:c>
      <x:c r="C277" s="11" t="str">
        <x:v>Ibagué</x:v>
      </x:c>
      <x:c r="D277" s="11" t="str">
        <x:v>Tienda</x:v>
      </x:c>
      <x:c r="E277" s="11" t="str">
        <x:v>Alimentos</x:v>
      </x:c>
      <x:c r="F277" s="11" t="str">
        <x:v>Snack saludable</x:v>
      </x:c>
      <x:c r="G277" s="11" t="str">
        <x:v>C-0004</x:v>
      </x:c>
      <x:c r="H277" s="11" t="str">
        <x:v>Recurrente</x:v>
      </x:c>
      <x:c r="I277" s="11" t="n">
        <x:v>2</x:v>
      </x:c>
      <x:c r="J277" s="18" t="n">
        <x:v>9300</x:v>
      </x:c>
      <x:c r="K277" s="16" t="n">
        <x:v>0.05</x:v>
      </x:c>
      <x:c r="L277" s="18" t="n">
        <x:v>5200</x:v>
      </x:c>
      <x:c r="M277" s="11" t="str">
        <x:v>Transferencia</x:v>
      </x:c>
      <x:c r="N277" s="11" t="n">
        <x:v>0</x:v>
      </x:c>
      <x:c r="O277" s="11" t="str">
        <x:v>No aplica</x:v>
      </x:c>
      <x:c r="P277" s="20" t="n">
        <x:v>5</x:v>
      </x:c>
      <x:c r="Q277" s="18" t="n">
        <x:f>I277*J277</x:f>
        <x:v>18600</x:v>
      </x:c>
      <x:c r="R277" s="18" t="n">
        <x:f>Q277*K277</x:f>
        <x:v>930</x:v>
      </x:c>
      <x:c r="S277" s="18" t="n">
        <x:f>Q277-R277</x:f>
        <x:v>17670</x:v>
      </x:c>
      <x:c r="T277" s="18" t="n">
        <x:f>I277*L277</x:f>
        <x:v>10400</x:v>
      </x:c>
      <x:c r="U277" s="18" t="n">
        <x:f>S277-T277</x:f>
        <x:v>7270</x:v>
      </x:c>
    </x:row>
    <x:row r="278">
      <x:c r="A278" s="11" t="str">
        <x:v>V-0421</x:v>
      </x:c>
      <x:c r="B278" s="14" t="n">
        <x:v>46158</x:v>
      </x:c>
      <x:c r="C278" s="11" t="str">
        <x:v>Neiva</x:v>
      </x:c>
      <x:c r="D278" s="11" t="str">
        <x:v>App</x:v>
      </x:c>
      <x:c r="E278" s="11" t="str">
        <x:v>Cuidado personal</x:v>
      </x:c>
      <x:c r="F278" s="11" t="str">
        <x:v>Kit cuidado</x:v>
      </x:c>
      <x:c r="G278" s="11" t="str">
        <x:v>C-0018</x:v>
      </x:c>
      <x:c r="H278" s="11" t="str">
        <x:v>Recurrente</x:v>
      </x:c>
      <x:c r="I278" s="11" t="n">
        <x:v>1</x:v>
      </x:c>
      <x:c r="J278" s="18" t="n">
        <x:v>38000</x:v>
      </x:c>
      <x:c r="K278" s="16" t="n">
        <x:v>0.15</x:v>
      </x:c>
      <x:c r="L278" s="18" t="n">
        <x:v>22700</x:v>
      </x:c>
      <x:c r="M278" s="11" t="str">
        <x:v>Efectivo</x:v>
      </x:c>
      <x:c r="N278" s="11" t="n">
        <x:v>33</x:v>
      </x:c>
      <x:c r="O278" s="11" t="str">
        <x:v>A tiempo</x:v>
      </x:c>
      <x:c r="P278" s="20" t="n">
        <x:v>3</x:v>
      </x:c>
      <x:c r="Q278" s="18" t="n">
        <x:f>I278*J278</x:f>
        <x:v>38000</x:v>
      </x:c>
      <x:c r="R278" s="18" t="n">
        <x:f>Q278*K278</x:f>
        <x:v>5700</x:v>
      </x:c>
      <x:c r="S278" s="18" t="n">
        <x:f>Q278-R278</x:f>
        <x:v>32300</x:v>
      </x:c>
      <x:c r="T278" s="18" t="n">
        <x:f>I278*L278</x:f>
        <x:v>22700</x:v>
      </x:c>
      <x:c r="U278" s="18" t="n">
        <x:f>S278-T278</x:f>
        <x:v>9600</x:v>
      </x:c>
    </x:row>
    <x:row r="279">
      <x:c r="A279" s="11" t="str">
        <x:v>V-0113</x:v>
      </x:c>
      <x:c r="B279" s="14" t="n">
        <x:v>46159</x:v>
      </x:c>
      <x:c r="C279" s="11" t="str">
        <x:v>Florencia</x:v>
      </x:c>
      <x:c r="D279" s="11" t="str">
        <x:v>Tienda</x:v>
      </x:c>
      <x:c r="E279" s="11" t="str">
        <x:v>Cuidado personal</x:v>
      </x:c>
      <x:c r="F279" s="11" t="str">
        <x:v>Kit cuidado</x:v>
      </x:c>
      <x:c r="G279" s="11" t="str">
        <x:v>C-0027</x:v>
      </x:c>
      <x:c r="H279" s="11" t="str">
        <x:v>Nuevo</x:v>
      </x:c>
      <x:c r="I279" s="11" t="n">
        <x:v>1</x:v>
      </x:c>
      <x:c r="J279" s="18" t="n">
        <x:v>42300</x:v>
      </x:c>
      <x:c r="K279" s="16" t="n">
        <x:v>0.05</x:v>
      </x:c>
      <x:c r="L279" s="18" t="n">
        <x:v>26200</x:v>
      </x:c>
      <x:c r="M279" s="11" t="str">
        <x:v>Transferencia</x:v>
      </x:c>
      <x:c r="N279" s="11" t="n">
        <x:v>0</x:v>
      </x:c>
      <x:c r="O279" s="11" t="str">
        <x:v>No aplica</x:v>
      </x:c>
      <x:c r="P279" s="20" t="n">
        <x:v>5</x:v>
      </x:c>
      <x:c r="Q279" s="18" t="n">
        <x:f>I279*J279</x:f>
        <x:v>42300</x:v>
      </x:c>
      <x:c r="R279" s="18" t="n">
        <x:f>Q279*K279</x:f>
        <x:v>2115</x:v>
      </x:c>
      <x:c r="S279" s="18" t="n">
        <x:f>Q279-R279</x:f>
        <x:v>40185</x:v>
      </x:c>
      <x:c r="T279" s="18" t="n">
        <x:f>I279*L279</x:f>
        <x:v>26200</x:v>
      </x:c>
      <x:c r="U279" s="18" t="n">
        <x:f>S279-T279</x:f>
        <x:v>13985</x:v>
      </x:c>
    </x:row>
    <x:row r="280">
      <x:c r="A280" s="11" t="str">
        <x:v>V-0412</x:v>
      </x:c>
      <x:c r="B280" s="14" t="n">
        <x:v>46160</x:v>
      </x:c>
      <x:c r="C280" s="11" t="str">
        <x:v>Bogotá</x:v>
      </x:c>
      <x:c r="D280" s="11" t="str">
        <x:v>Web</x:v>
      </x:c>
      <x:c r="E280" s="11" t="str">
        <x:v>Alimentos</x:v>
      </x:c>
      <x:c r="F280" s="11" t="str">
        <x:v>Snack saludable</x:v>
      </x:c>
      <x:c r="G280" s="11" t="str">
        <x:v>C-0027</x:v>
      </x:c>
      <x:c r="H280" s="11" t="str">
        <x:v>Recurrente</x:v>
      </x:c>
      <x:c r="I280" s="11" t="n">
        <x:v>1</x:v>
      </x:c>
      <x:c r="J280" s="18" t="n">
        <x:v>9100</x:v>
      </x:c>
      <x:c r="K280" s="16" t="n">
        <x:v>0.2</x:v>
      </x:c>
      <x:c r="L280" s="18" t="n">
        <x:v>5200</x:v>
      </x:c>
      <x:c r="M280" s="11" t="str">
        <x:v>Billetera digital</x:v>
      </x:c>
      <x:c r="N280" s="11" t="n">
        <x:v>61</x:v>
      </x:c>
      <x:c r="O280" s="11" t="str">
        <x:v>Tardía</x:v>
      </x:c>
      <x:c r="P280" s="20" t="n">
        <x:v>5</x:v>
      </x:c>
      <x:c r="Q280" s="18" t="n">
        <x:f>I280*J280</x:f>
        <x:v>9100</x:v>
      </x:c>
      <x:c r="R280" s="18" t="n">
        <x:f>Q280*K280</x:f>
        <x:v>1820</x:v>
      </x:c>
      <x:c r="S280" s="18" t="n">
        <x:f>Q280-R280</x:f>
        <x:v>7280</x:v>
      </x:c>
      <x:c r="T280" s="18" t="n">
        <x:f>I280*L280</x:f>
        <x:v>5200</x:v>
      </x:c>
      <x:c r="U280" s="18" t="n">
        <x:f>S280-T280</x:f>
        <x:v>2080</x:v>
      </x:c>
    </x:row>
    <x:row r="281">
      <x:c r="A281" s="11" t="str">
        <x:v>V-0179</x:v>
      </x:c>
      <x:c r="B281" s="14" t="n">
        <x:v>46163</x:v>
      </x:c>
      <x:c r="C281" s="11" t="str">
        <x:v>Cali</x:v>
      </x:c>
      <x:c r="D281" s="11" t="str">
        <x:v>App</x:v>
      </x:c>
      <x:c r="E281" s="11" t="str">
        <x:v>Bebidas</x:v>
      </x:c>
      <x:c r="F281" s="11" t="str">
        <x:v>Bebida premium</x:v>
      </x:c>
      <x:c r="G281" s="11" t="str">
        <x:v>C-0021</x:v>
      </x:c>
      <x:c r="H281" s="11" t="str">
        <x:v>Recurrente</x:v>
      </x:c>
      <x:c r="I281" s="11" t="n">
        <x:v>5</x:v>
      </x:c>
      <x:c r="J281" s="18" t="n">
        <x:v>15800</x:v>
      </x:c>
      <x:c r="K281" s="16" t="n">
        <x:v>0.05</x:v>
      </x:c>
      <x:c r="L281" s="18" t="n">
        <x:v>8800</x:v>
      </x:c>
      <x:c r="M281" s="11" t="str">
        <x:v>Billetera digital</x:v>
      </x:c>
      <x:c r="N281" s="11" t="n">
        <x:v>61</x:v>
      </x:c>
      <x:c r="O281" s="11" t="str">
        <x:v>Tardía</x:v>
      </x:c>
      <x:c r="P281" s="20" t="n">
        <x:v>5</x:v>
      </x:c>
      <x:c r="Q281" s="18" t="n">
        <x:f>I281*J281</x:f>
        <x:v>79000</x:v>
      </x:c>
      <x:c r="R281" s="18" t="n">
        <x:f>Q281*K281</x:f>
        <x:v>3950</x:v>
      </x:c>
      <x:c r="S281" s="18" t="n">
        <x:f>Q281-R281</x:f>
        <x:v>75050</x:v>
      </x:c>
      <x:c r="T281" s="18" t="n">
        <x:f>I281*L281</x:f>
        <x:v>44000</x:v>
      </x:c>
      <x:c r="U281" s="18" t="n">
        <x:f>S281-T281</x:f>
        <x:v>31050</x:v>
      </x:c>
    </x:row>
    <x:row r="282">
      <x:c r="A282" s="11" t="str">
        <x:v>V-0109</x:v>
      </x:c>
      <x:c r="B282" s="14" t="n">
        <x:v>46164</x:v>
      </x:c>
      <x:c r="C282" s="11" t="str">
        <x:v>Cali</x:v>
      </x:c>
      <x:c r="D282" s="11" t="str">
        <x:v>Tienda</x:v>
      </x:c>
      <x:c r="E282" s="11" t="str">
        <x:v>Hogar</x:v>
      </x:c>
      <x:c r="F282" s="11" t="str">
        <x:v>Accesorio hogar</x:v>
      </x:c>
      <x:c r="G282" s="11" t="str">
        <x:v>C-0073</x:v>
      </x:c>
      <x:c r="H282" s="11" t="str">
        <x:v>Nuevo</x:v>
      </x:c>
      <x:c r="I282" s="11" t="n">
        <x:v>2</x:v>
      </x:c>
      <x:c r="J282" s="18" t="n">
        <x:v>28300</x:v>
      </x:c>
      <x:c r="K282" s="16" t="n">
        <x:v>0</x:v>
      </x:c>
      <x:c r="L282" s="18" t="n">
        <x:v>18100</x:v>
      </x:c>
      <x:c r="M282" s="11" t="str">
        <x:v>Efectivo</x:v>
      </x:c>
      <x:c r="N282" s="11" t="n">
        <x:v>0</x:v>
      </x:c>
      <x:c r="O282" s="11" t="str">
        <x:v>No aplica</x:v>
      </x:c>
      <x:c r="P282" s="20" t="n">
        <x:v>5</x:v>
      </x:c>
      <x:c r="Q282" s="18" t="n">
        <x:f>I282*J282</x:f>
        <x:v>56600</x:v>
      </x:c>
      <x:c r="R282" s="18" t="n">
        <x:f>Q282*K282</x:f>
        <x:v>0</x:v>
      </x:c>
      <x:c r="S282" s="18" t="n">
        <x:f>Q282-R282</x:f>
        <x:v>56600</x:v>
      </x:c>
      <x:c r="T282" s="18" t="n">
        <x:f>I282*L282</x:f>
        <x:v>36200</x:v>
      </x:c>
      <x:c r="U282" s="18" t="n">
        <x:f>S282-T282</x:f>
        <x:v>20400</x:v>
      </x:c>
    </x:row>
    <x:row r="283">
      <x:c r="A283" s="11" t="str">
        <x:v>V-0267</x:v>
      </x:c>
      <x:c r="B283" s="14" t="n">
        <x:v>46164</x:v>
      </x:c>
      <x:c r="C283" s="11" t="str">
        <x:v>Medellín</x:v>
      </x:c>
      <x:c r="D283" s="11" t="str">
        <x:v>Web</x:v>
      </x:c>
      <x:c r="E283" s="11" t="str">
        <x:v>Alimentos</x:v>
      </x:c>
      <x:c r="F283" s="11" t="str">
        <x:v>Snack saludable</x:v>
      </x:c>
      <x:c r="G283" s="11" t="str">
        <x:v>C-0038</x:v>
      </x:c>
      <x:c r="H283" s="11" t="str">
        <x:v>Recurrente</x:v>
      </x:c>
      <x:c r="I283" s="11" t="n">
        <x:v>4</x:v>
      </x:c>
      <x:c r="J283" s="18" t="n">
        <x:v>7800</x:v>
      </x:c>
      <x:c r="K283" s="16" t="n">
        <x:v>0</x:v>
      </x:c>
      <x:c r="L283" s="18" t="n">
        <x:v>4400</x:v>
      </x:c>
      <x:c r="M283" s="11" t="str">
        <x:v>Efectivo</x:v>
      </x:c>
      <x:c r="N283" s="11" t="n">
        <x:v>30</x:v>
      </x:c>
      <x:c r="O283" s="11" t="str">
        <x:v>A tiempo</x:v>
      </x:c>
      <x:c r="P283" s="20" t="n">
        <x:v>5</x:v>
      </x:c>
      <x:c r="Q283" s="18" t="n">
        <x:f>I283*J283</x:f>
        <x:v>31200</x:v>
      </x:c>
      <x:c r="R283" s="18" t="n">
        <x:f>Q283*K283</x:f>
        <x:v>0</x:v>
      </x:c>
      <x:c r="S283" s="18" t="n">
        <x:f>Q283-R283</x:f>
        <x:v>31200</x:v>
      </x:c>
      <x:c r="T283" s="18" t="n">
        <x:f>I283*L283</x:f>
        <x:v>17600</x:v>
      </x:c>
      <x:c r="U283" s="18" t="n">
        <x:f>S283-T283</x:f>
        <x:v>13600</x:v>
      </x:c>
    </x:row>
    <x:row r="284">
      <x:c r="A284" s="11" t="str">
        <x:v>V-0376</x:v>
      </x:c>
      <x:c r="B284" s="14" t="n">
        <x:v>46164</x:v>
      </x:c>
      <x:c r="C284" s="11" t="str">
        <x:v>Medellín</x:v>
      </x:c>
      <x:c r="D284" s="11" t="str">
        <x:v>Tienda</x:v>
      </x:c>
      <x:c r="E284" s="11" t="str">
        <x:v>Hogar</x:v>
      </x:c>
      <x:c r="F284" s="11" t="str">
        <x:v>Organizador</x:v>
      </x:c>
      <x:c r="G284" s="11" t="str">
        <x:v>C-0089</x:v>
      </x:c>
      <x:c r="H284" s="11" t="str">
        <x:v>Recurrente</x:v>
      </x:c>
      <x:c r="I284" s="11" t="n">
        <x:v>4</x:v>
      </x:c>
      <x:c r="J284" s="18" t="n">
        <x:v>34000</x:v>
      </x:c>
      <x:c r="K284" s="16" t="n">
        <x:v>0</x:v>
      </x:c>
      <x:c r="L284" s="18" t="n">
        <x:v>21400</x:v>
      </x:c>
      <x:c r="M284" s="11" t="str">
        <x:v>Billetera digital</x:v>
      </x:c>
      <x:c r="N284" s="11" t="n">
        <x:v>0</x:v>
      </x:c>
      <x:c r="O284" s="11" t="str">
        <x:v>No aplica</x:v>
      </x:c>
      <x:c r="P284" s="20" t="n">
        <x:v>4</x:v>
      </x:c>
      <x:c r="Q284" s="18" t="n">
        <x:f>I284*J284</x:f>
        <x:v>136000</x:v>
      </x:c>
      <x:c r="R284" s="18" t="n">
        <x:f>Q284*K284</x:f>
        <x:v>0</x:v>
      </x:c>
      <x:c r="S284" s="18" t="n">
        <x:f>Q284-R284</x:f>
        <x:v>136000</x:v>
      </x:c>
      <x:c r="T284" s="18" t="n">
        <x:f>I284*L284</x:f>
        <x:v>85600</x:v>
      </x:c>
      <x:c r="U284" s="18" t="n">
        <x:f>S284-T284</x:f>
        <x:v>50400</x:v>
      </x:c>
    </x:row>
    <x:row r="285">
      <x:c r="A285" s="11" t="str">
        <x:v>V-0294</x:v>
      </x:c>
      <x:c r="B285" s="14" t="n">
        <x:v>46165</x:v>
      </x:c>
      <x:c r="C285" s="11" t="str">
        <x:v>Ibagué</x:v>
      </x:c>
      <x:c r="D285" s="11" t="str">
        <x:v>App</x:v>
      </x:c>
      <x:c r="E285" s="11" t="str">
        <x:v>Cuidado personal</x:v>
      </x:c>
      <x:c r="F285" s="11" t="str">
        <x:v>Accesorio personal</x:v>
      </x:c>
      <x:c r="G285" s="11" t="str">
        <x:v>C-0085</x:v>
      </x:c>
      <x:c r="H285" s="11" t="str">
        <x:v>Recurrente</x:v>
      </x:c>
      <x:c r="I285" s="11" t="n">
        <x:v>3</x:v>
      </x:c>
      <x:c r="J285" s="18" t="n">
        <x:v>17700</x:v>
      </x:c>
      <x:c r="K285" s="16" t="n">
        <x:v>0</x:v>
      </x:c>
      <x:c r="L285" s="18" t="n">
        <x:v>10400</x:v>
      </x:c>
      <x:c r="M285" s="11" t="str">
        <x:v>Tarjeta</x:v>
      </x:c>
      <x:c r="N285" s="11" t="n">
        <x:v>47</x:v>
      </x:c>
      <x:c r="O285" s="11" t="str">
        <x:v>A tiempo</x:v>
      </x:c>
      <x:c r="P285" s="20" t="n">
        <x:v>5</x:v>
      </x:c>
      <x:c r="Q285" s="18" t="n">
        <x:f>I285*J285</x:f>
        <x:v>53100</x:v>
      </x:c>
      <x:c r="R285" s="18" t="n">
        <x:f>Q285*K285</x:f>
        <x:v>0</x:v>
      </x:c>
      <x:c r="S285" s="18" t="n">
        <x:f>Q285-R285</x:f>
        <x:v>53100</x:v>
      </x:c>
      <x:c r="T285" s="18" t="n">
        <x:f>I285*L285</x:f>
        <x:v>31200</x:v>
      </x:c>
      <x:c r="U285" s="18" t="n">
        <x:f>S285-T285</x:f>
        <x:v>21900</x:v>
      </x:c>
    </x:row>
    <x:row r="286">
      <x:c r="A286" s="11" t="str">
        <x:v>V-0369</x:v>
      </x:c>
      <x:c r="B286" s="14" t="n">
        <x:v>46165</x:v>
      </x:c>
      <x:c r="C286" s="11" t="str">
        <x:v>Ibagué</x:v>
      </x:c>
      <x:c r="D286" s="11" t="str">
        <x:v>App</x:v>
      </x:c>
      <x:c r="E286" s="11" t="str">
        <x:v>Cuidado personal</x:v>
      </x:c>
      <x:c r="F286" s="11" t="str">
        <x:v>Accesorio personal</x:v>
      </x:c>
      <x:c r="G286" s="11" t="str">
        <x:v>C-0011</x:v>
      </x:c>
      <x:c r="H286" s="11" t="str">
        <x:v>Recurrente</x:v>
      </x:c>
      <x:c r="I286" s="11" t="n">
        <x:v>2</x:v>
      </x:c>
      <x:c r="J286" s="18" t="n">
        <x:v>16300</x:v>
      </x:c>
      <x:c r="K286" s="16" t="n">
        <x:v>0</x:v>
      </x:c>
      <x:c r="L286" s="18" t="n">
        <x:v>9100</x:v>
      </x:c>
      <x:c r="M286" s="11" t="str">
        <x:v>Tarjeta</x:v>
      </x:c>
      <x:c r="N286" s="11" t="n">
        <x:v>34</x:v>
      </x:c>
      <x:c r="O286" s="11" t="str">
        <x:v>A tiempo</x:v>
      </x:c>
      <x:c r="P286" s="20" t="n">
        <x:v>5</x:v>
      </x:c>
      <x:c r="Q286" s="18" t="n">
        <x:f>I286*J286</x:f>
        <x:v>32600</x:v>
      </x:c>
      <x:c r="R286" s="18" t="n">
        <x:f>Q286*K286</x:f>
        <x:v>0</x:v>
      </x:c>
      <x:c r="S286" s="18" t="n">
        <x:f>Q286-R286</x:f>
        <x:v>32600</x:v>
      </x:c>
      <x:c r="T286" s="18" t="n">
        <x:f>I286*L286</x:f>
        <x:v>18200</x:v>
      </x:c>
      <x:c r="U286" s="18" t="n">
        <x:f>S286-T286</x:f>
        <x:v>14400</x:v>
      </x:c>
    </x:row>
    <x:row r="287">
      <x:c r="A287" s="11" t="str">
        <x:v>V-0017</x:v>
      </x:c>
      <x:c r="B287" s="14" t="n">
        <x:v>46166</x:v>
      </x:c>
      <x:c r="C287" s="11" t="str">
        <x:v>Neiva</x:v>
      </x:c>
      <x:c r="D287" s="11" t="str">
        <x:v>Tienda</x:v>
      </x:c>
      <x:c r="E287" s="11" t="str">
        <x:v>Hogar</x:v>
      </x:c>
      <x:c r="F287" s="11" t="str">
        <x:v>Organizador</x:v>
      </x:c>
      <x:c r="G287" s="11" t="str">
        <x:v>C-0093</x:v>
      </x:c>
      <x:c r="H287" s="11" t="str">
        <x:v>Nuevo</x:v>
      </x:c>
      <x:c r="I287" s="11" t="n">
        <x:v>1</x:v>
      </x:c>
      <x:c r="J287" s="18" t="n">
        <x:v>40000</x:v>
      </x:c>
      <x:c r="K287" s="16" t="n">
        <x:v>0</x:v>
      </x:c>
      <x:c r="L287" s="18" t="n">
        <x:v>24300</x:v>
      </x:c>
      <x:c r="M287" s="11" t="str">
        <x:v>Tarjeta</x:v>
      </x:c>
      <x:c r="N287" s="11" t="n">
        <x:v>0</x:v>
      </x:c>
      <x:c r="O287" s="11" t="str">
        <x:v>No aplica</x:v>
      </x:c>
      <x:c r="P287" s="20" t="n">
        <x:v>5</x:v>
      </x:c>
      <x:c r="Q287" s="18" t="n">
        <x:f>I287*J287</x:f>
        <x:v>40000</x:v>
      </x:c>
      <x:c r="R287" s="18" t="n">
        <x:f>Q287*K287</x:f>
        <x:v>0</x:v>
      </x:c>
      <x:c r="S287" s="18" t="n">
        <x:f>Q287-R287</x:f>
        <x:v>40000</x:v>
      </x:c>
      <x:c r="T287" s="18" t="n">
        <x:f>I287*L287</x:f>
        <x:v>24300</x:v>
      </x:c>
      <x:c r="U287" s="18" t="n">
        <x:f>S287-T287</x:f>
        <x:v>15700</x:v>
      </x:c>
    </x:row>
    <x:row r="288">
      <x:c r="A288" s="11" t="str">
        <x:v>V-0297</x:v>
      </x:c>
      <x:c r="B288" s="14" t="n">
        <x:v>46167</x:v>
      </x:c>
      <x:c r="C288" s="11" t="str">
        <x:v>Neiva</x:v>
      </x:c>
      <x:c r="D288" s="11" t="str">
        <x:v>App</x:v>
      </x:c>
      <x:c r="E288" s="11" t="str">
        <x:v>Bebidas</x:v>
      </x:c>
      <x:c r="F288" s="11" t="str">
        <x:v>Bebida premium</x:v>
      </x:c>
      <x:c r="G288" s="11" t="str">
        <x:v>C-0041</x:v>
      </x:c>
      <x:c r="H288" s="11" t="str">
        <x:v>Recurrente</x:v>
      </x:c>
      <x:c r="I288" s="11" t="n">
        <x:v>1</x:v>
      </x:c>
      <x:c r="J288" s="18" t="n">
        <x:v>13900</x:v>
      </x:c>
      <x:c r="K288" s="16" t="n">
        <x:v>0.15</x:v>
      </x:c>
      <x:c r="L288" s="18" t="n">
        <x:v>7600</x:v>
      </x:c>
      <x:c r="M288" s="11" t="str">
        <x:v>Billetera digital</x:v>
      </x:c>
      <x:c r="N288" s="11" t="n">
        <x:v>92</x:v>
      </x:c>
      <x:c r="O288" s="11" t="str">
        <x:v>Tardía</x:v>
      </x:c>
      <x:c r="P288" s="20" t="n">
        <x:v>5</x:v>
      </x:c>
      <x:c r="Q288" s="18" t="n">
        <x:f>I288*J288</x:f>
        <x:v>13900</x:v>
      </x:c>
      <x:c r="R288" s="18" t="n">
        <x:f>Q288*K288</x:f>
        <x:v>2085</x:v>
      </x:c>
      <x:c r="S288" s="18" t="n">
        <x:f>Q288-R288</x:f>
        <x:v>11815</x:v>
      </x:c>
      <x:c r="T288" s="18" t="n">
        <x:f>I288*L288</x:f>
        <x:v>7600</x:v>
      </x:c>
      <x:c r="U288" s="18" t="n">
        <x:f>S288-T288</x:f>
        <x:v>4215</x:v>
      </x:c>
    </x:row>
    <x:row r="289">
      <x:c r="A289" s="11" t="str">
        <x:v>V-0459</x:v>
      </x:c>
      <x:c r="B289" s="14" t="n">
        <x:v>46167</x:v>
      </x:c>
      <x:c r="C289" s="11" t="str">
        <x:v>Medellín</x:v>
      </x:c>
      <x:c r="D289" s="11" t="str">
        <x:v>Web</x:v>
      </x:c>
      <x:c r="E289" s="11" t="str">
        <x:v>Hogar</x:v>
      </x:c>
      <x:c r="F289" s="11" t="str">
        <x:v>Kit limpieza</x:v>
      </x:c>
      <x:c r="G289" s="11" t="str">
        <x:v>C-0102</x:v>
      </x:c>
      <x:c r="H289" s="11" t="str">
        <x:v>Recurrente</x:v>
      </x:c>
      <x:c r="I289" s="11" t="n">
        <x:v>2</x:v>
      </x:c>
      <x:c r="J289" s="18" t="n">
        <x:v>26700</x:v>
      </x:c>
      <x:c r="K289" s="16" t="n">
        <x:v>0.05</x:v>
      </x:c>
      <x:c r="L289" s="18" t="n">
        <x:v>15600</x:v>
      </x:c>
      <x:c r="M289" s="11" t="str">
        <x:v>Tarjeta</x:v>
      </x:c>
      <x:c r="N289" s="11" t="n">
        <x:v>54</x:v>
      </x:c>
      <x:c r="O289" s="11" t="str">
        <x:v>A tiempo</x:v>
      </x:c>
      <x:c r="P289" s="20" t="n">
        <x:v>4</x:v>
      </x:c>
      <x:c r="Q289" s="18" t="n">
        <x:f>I289*J289</x:f>
        <x:v>53400</x:v>
      </x:c>
      <x:c r="R289" s="18" t="n">
        <x:f>Q289*K289</x:f>
        <x:v>2670</x:v>
      </x:c>
      <x:c r="S289" s="18" t="n">
        <x:f>Q289-R289</x:f>
        <x:v>50730</x:v>
      </x:c>
      <x:c r="T289" s="18" t="n">
        <x:f>I289*L289</x:f>
        <x:v>31200</x:v>
      </x:c>
      <x:c r="U289" s="18" t="n">
        <x:f>S289-T289</x:f>
        <x:v>19530</x:v>
      </x:c>
    </x:row>
    <x:row r="290">
      <x:c r="A290" s="11" t="str">
        <x:v>V-0343</x:v>
      </x:c>
      <x:c r="B290" s="14" t="n">
        <x:v>46168</x:v>
      </x:c>
      <x:c r="C290" s="11" t="str">
        <x:v>Bogotá</x:v>
      </x:c>
      <x:c r="D290" s="11" t="str">
        <x:v>Web</x:v>
      </x:c>
      <x:c r="E290" s="11" t="str">
        <x:v>Alimentos</x:v>
      </x:c>
      <x:c r="F290" s="11" t="str">
        <x:v>Producto gourmet</x:v>
      </x:c>
      <x:c r="G290" s="11" t="str">
        <x:v>C-0084</x:v>
      </x:c>
      <x:c r="H290" s="11" t="str">
        <x:v>Recurrente</x:v>
      </x:c>
      <x:c r="I290" s="11" t="n">
        <x:v>3</x:v>
      </x:c>
      <x:c r="J290" s="18" t="n">
        <x:v>30500</x:v>
      </x:c>
      <x:c r="K290" s="16" t="n">
        <x:v>0.1</x:v>
      </x:c>
      <x:c r="L290" s="18" t="n">
        <x:v>18600</x:v>
      </x:c>
      <x:c r="M290" s="11" t="str">
        <x:v>Transferencia</x:v>
      </x:c>
      <x:c r="N290" s="11" t="n">
        <x:v>32</x:v>
      </x:c>
      <x:c r="O290" s="11" t="str">
        <x:v>A tiempo</x:v>
      </x:c>
      <x:c r="P290" s="20" t="n">
        <x:v>4</x:v>
      </x:c>
      <x:c r="Q290" s="18" t="n">
        <x:f>I290*J290</x:f>
        <x:v>91500</x:v>
      </x:c>
      <x:c r="R290" s="18" t="n">
        <x:f>Q290*K290</x:f>
        <x:v>9150</x:v>
      </x:c>
      <x:c r="S290" s="18" t="n">
        <x:f>Q290-R290</x:f>
        <x:v>82350</x:v>
      </x:c>
      <x:c r="T290" s="18" t="n">
        <x:f>I290*L290</x:f>
        <x:v>55800</x:v>
      </x:c>
      <x:c r="U290" s="18" t="n">
        <x:f>S290-T290</x:f>
        <x:v>26550</x:v>
      </x:c>
    </x:row>
    <x:row r="291">
      <x:c r="A291" s="11" t="str">
        <x:v>V-0280</x:v>
      </x:c>
      <x:c r="B291" s="14" t="n">
        <x:v>46169</x:v>
      </x:c>
      <x:c r="C291" s="11" t="str">
        <x:v>Bogotá</x:v>
      </x:c>
      <x:c r="D291" s="11" t="str">
        <x:v>Web</x:v>
      </x:c>
      <x:c r="E291" s="11" t="str">
        <x:v>Alimentos</x:v>
      </x:c>
      <x:c r="F291" s="11" t="str">
        <x:v>Combo almuerzo</x:v>
      </x:c>
      <x:c r="G291" s="11" t="str">
        <x:v>C-0054</x:v>
      </x:c>
      <x:c r="H291" s="11" t="str">
        <x:v>Recurrente</x:v>
      </x:c>
      <x:c r="I291" s="11" t="n">
        <x:v>1</x:v>
      </x:c>
      <x:c r="J291" s="18" t="n">
        <x:v>20700</x:v>
      </x:c>
      <x:c r="K291" s="16" t="n">
        <x:v>0</x:v>
      </x:c>
      <x:c r="L291" s="18" t="n">
        <x:v>12200</x:v>
      </x:c>
      <x:c r="M291" s="11" t="str">
        <x:v>Billetera digital</x:v>
      </x:c>
      <x:c r="N291" s="11" t="n">
        <x:v>47</x:v>
      </x:c>
      <x:c r="O291" s="11" t="str">
        <x:v>A tiempo</x:v>
      </x:c>
      <x:c r="P291" s="20" t="n">
        <x:v>4</x:v>
      </x:c>
      <x:c r="Q291" s="18" t="n">
        <x:f>I291*J291</x:f>
        <x:v>20700</x:v>
      </x:c>
      <x:c r="R291" s="18" t="n">
        <x:f>Q291*K291</x:f>
        <x:v>0</x:v>
      </x:c>
      <x:c r="S291" s="18" t="n">
        <x:f>Q291-R291</x:f>
        <x:v>20700</x:v>
      </x:c>
      <x:c r="T291" s="18" t="n">
        <x:f>I291*L291</x:f>
        <x:v>12200</x:v>
      </x:c>
      <x:c r="U291" s="18" t="n">
        <x:f>S291-T291</x:f>
        <x:v>8500</x:v>
      </x:c>
    </x:row>
    <x:row r="292">
      <x:c r="A292" s="11" t="str">
        <x:v>V-0315</x:v>
      </x:c>
      <x:c r="B292" s="14" t="n">
        <x:v>46169</x:v>
      </x:c>
      <x:c r="C292" s="11" t="str">
        <x:v>Florencia</x:v>
      </x:c>
      <x:c r="D292" s="11" t="str">
        <x:v>Tienda</x:v>
      </x:c>
      <x:c r="E292" s="11" t="str">
        <x:v>Hogar</x:v>
      </x:c>
      <x:c r="F292" s="11" t="str">
        <x:v>Organizador</x:v>
      </x:c>
      <x:c r="G292" s="11" t="str">
        <x:v>C-0066</x:v>
      </x:c>
      <x:c r="H292" s="11" t="str">
        <x:v>Recurrente</x:v>
      </x:c>
      <x:c r="I292" s="11" t="n">
        <x:v>1</x:v>
      </x:c>
      <x:c r="J292" s="18" t="n">
        <x:v>39300</x:v>
      </x:c>
      <x:c r="K292" s="16" t="n">
        <x:v>0.05</x:v>
      </x:c>
      <x:c r="L292" s="18" t="n">
        <x:v>24900</x:v>
      </x:c>
      <x:c r="M292" s="11" t="str">
        <x:v>Transferencia</x:v>
      </x:c>
      <x:c r="N292" s="11" t="n">
        <x:v>0</x:v>
      </x:c>
      <x:c r="O292" s="11" t="str">
        <x:v>No aplica</x:v>
      </x:c>
      <x:c r="P292" s="20" t="n">
        <x:v>5</x:v>
      </x:c>
      <x:c r="Q292" s="18" t="n">
        <x:f>I292*J292</x:f>
        <x:v>39300</x:v>
      </x:c>
      <x:c r="R292" s="18" t="n">
        <x:f>Q292*K292</x:f>
        <x:v>1965</x:v>
      </x:c>
      <x:c r="S292" s="18" t="n">
        <x:f>Q292-R292</x:f>
        <x:v>37335</x:v>
      </x:c>
      <x:c r="T292" s="18" t="n">
        <x:f>I292*L292</x:f>
        <x:v>24900</x:v>
      </x:c>
      <x:c r="U292" s="18" t="n">
        <x:f>S292-T292</x:f>
        <x:v>12435</x:v>
      </x:c>
    </x:row>
    <x:row r="293">
      <x:c r="A293" s="11" t="str">
        <x:v>V-0361</x:v>
      </x:c>
      <x:c r="B293" s="14" t="n">
        <x:v>46169</x:v>
      </x:c>
      <x:c r="C293" s="11" t="str">
        <x:v>Florencia</x:v>
      </x:c>
      <x:c r="D293" s="11" t="str">
        <x:v>Tienda</x:v>
      </x:c>
      <x:c r="E293" s="11" t="str">
        <x:v>Bebidas</x:v>
      </x:c>
      <x:c r="F293" s="11" t="str">
        <x:v>Bebida premium</x:v>
      </x:c>
      <x:c r="G293" s="11" t="str">
        <x:v>C-0044</x:v>
      </x:c>
      <x:c r="H293" s="11" t="str">
        <x:v>Recurrente</x:v>
      </x:c>
      <x:c r="I293" s="11" t="n">
        <x:v>1</x:v>
      </x:c>
      <x:c r="J293" s="18" t="n">
        <x:v>15900</x:v>
      </x:c>
      <x:c r="K293" s="16" t="n">
        <x:v>0.05</x:v>
      </x:c>
      <x:c r="L293" s="18" t="n">
        <x:v>9200</x:v>
      </x:c>
      <x:c r="M293" s="11" t="str">
        <x:v>Billetera digital</x:v>
      </x:c>
      <x:c r="N293" s="11" t="n">
        <x:v>0</x:v>
      </x:c>
      <x:c r="O293" s="11" t="str">
        <x:v>No aplica</x:v>
      </x:c>
      <x:c r="P293" s="20" t="n">
        <x:v>5</x:v>
      </x:c>
      <x:c r="Q293" s="18" t="n">
        <x:f>I293*J293</x:f>
        <x:v>15900</x:v>
      </x:c>
      <x:c r="R293" s="18" t="n">
        <x:f>Q293*K293</x:f>
        <x:v>795</x:v>
      </x:c>
      <x:c r="S293" s="18" t="n">
        <x:f>Q293-R293</x:f>
        <x:v>15105</x:v>
      </x:c>
      <x:c r="T293" s="18" t="n">
        <x:f>I293*L293</x:f>
        <x:v>9200</x:v>
      </x:c>
      <x:c r="U293" s="18" t="n">
        <x:f>S293-T293</x:f>
        <x:v>5905</x:v>
      </x:c>
    </x:row>
    <x:row r="294">
      <x:c r="A294" s="11" t="str">
        <x:v>V-0392</x:v>
      </x:c>
      <x:c r="B294" s="14" t="n">
        <x:v>46169</x:v>
      </x:c>
      <x:c r="C294" s="11" t="str">
        <x:v>Neiva</x:v>
      </x:c>
      <x:c r="D294" s="11" t="str">
        <x:v>App</x:v>
      </x:c>
      <x:c r="E294" s="11" t="str">
        <x:v>Hogar</x:v>
      </x:c>
      <x:c r="F294" s="11" t="str">
        <x:v>Kit limpieza</x:v>
      </x:c>
      <x:c r="G294" s="11" t="str">
        <x:v>C-0013</x:v>
      </x:c>
      <x:c r="H294" s="11" t="str">
        <x:v>Recurrente</x:v>
      </x:c>
      <x:c r="I294" s="11" t="n">
        <x:v>4</x:v>
      </x:c>
      <x:c r="J294" s="18" t="n">
        <x:v>22500</x:v>
      </x:c>
      <x:c r="K294" s="16" t="n">
        <x:v>0.05</x:v>
      </x:c>
      <x:c r="L294" s="18" t="n">
        <x:v>13300</x:v>
      </x:c>
      <x:c r="M294" s="11" t="str">
        <x:v>Transferencia</x:v>
      </x:c>
      <x:c r="N294" s="11" t="n">
        <x:v>43</x:v>
      </x:c>
      <x:c r="O294" s="11" t="str">
        <x:v>A tiempo</x:v>
      </x:c>
      <x:c r="P294" s="20" t="n">
        <x:v>3</x:v>
      </x:c>
      <x:c r="Q294" s="18" t="n">
        <x:f>I294*J294</x:f>
        <x:v>90000</x:v>
      </x:c>
      <x:c r="R294" s="18" t="n">
        <x:f>Q294*K294</x:f>
        <x:v>4500</x:v>
      </x:c>
      <x:c r="S294" s="18" t="n">
        <x:f>Q294-R294</x:f>
        <x:v>85500</x:v>
      </x:c>
      <x:c r="T294" s="18" t="n">
        <x:f>I294*L294</x:f>
        <x:v>53200</x:v>
      </x:c>
      <x:c r="U294" s="18" t="n">
        <x:f>S294-T294</x:f>
        <x:v>32300</x:v>
      </x:c>
    </x:row>
    <x:row r="295">
      <x:c r="A295" s="11" t="str">
        <x:v>V-0206</x:v>
      </x:c>
      <x:c r="B295" s="14" t="n">
        <x:v>46170</x:v>
      </x:c>
      <x:c r="C295" s="11" t="str">
        <x:v>Cali</x:v>
      </x:c>
      <x:c r="D295" s="11" t="str">
        <x:v>Web</x:v>
      </x:c>
      <x:c r="E295" s="11" t="str">
        <x:v>Hogar</x:v>
      </x:c>
      <x:c r="F295" s="11" t="str">
        <x:v>Kit limpieza</x:v>
      </x:c>
      <x:c r="G295" s="11" t="str">
        <x:v>C-0023</x:v>
      </x:c>
      <x:c r="H295" s="11" t="str">
        <x:v>Recurrente</x:v>
      </x:c>
      <x:c r="I295" s="11" t="n">
        <x:v>1</x:v>
      </x:c>
      <x:c r="J295" s="18" t="n">
        <x:v>24300</x:v>
      </x:c>
      <x:c r="K295" s="16" t="n">
        <x:v>0</x:v>
      </x:c>
      <x:c r="L295" s="18" t="n">
        <x:v>13700</x:v>
      </x:c>
      <x:c r="M295" s="11" t="str">
        <x:v>Transferencia</x:v>
      </x:c>
      <x:c r="N295" s="11" t="n">
        <x:v>64</x:v>
      </x:c>
      <x:c r="O295" s="11" t="str">
        <x:v>Tardía</x:v>
      </x:c>
      <x:c r="P295" s="20" t="n">
        <x:v>5</x:v>
      </x:c>
      <x:c r="Q295" s="18" t="n">
        <x:f>I295*J295</x:f>
        <x:v>24300</x:v>
      </x:c>
      <x:c r="R295" s="18" t="n">
        <x:f>Q295*K295</x:f>
        <x:v>0</x:v>
      </x:c>
      <x:c r="S295" s="18" t="n">
        <x:f>Q295-R295</x:f>
        <x:v>24300</x:v>
      </x:c>
      <x:c r="T295" s="18" t="n">
        <x:f>I295*L295</x:f>
        <x:v>13700</x:v>
      </x:c>
      <x:c r="U295" s="18" t="n">
        <x:f>S295-T295</x:f>
        <x:v>10600</x:v>
      </x:c>
    </x:row>
    <x:row r="296">
      <x:c r="A296" s="11" t="str">
        <x:v>V-0285</x:v>
      </x:c>
      <x:c r="B296" s="14" t="n">
        <x:v>46170</x:v>
      </x:c>
      <x:c r="C296" s="11" t="str">
        <x:v>Medellín</x:v>
      </x:c>
      <x:c r="D296" s="11" t="str">
        <x:v>Tienda</x:v>
      </x:c>
      <x:c r="E296" s="11" t="str">
        <x:v>Bebidas</x:v>
      </x:c>
      <x:c r="F296" s="11" t="str">
        <x:v>Bebida premium</x:v>
      </x:c>
      <x:c r="G296" s="11" t="str">
        <x:v>C-0075</x:v>
      </x:c>
      <x:c r="H296" s="11" t="str">
        <x:v>Recurrente</x:v>
      </x:c>
      <x:c r="I296" s="11" t="n">
        <x:v>2</x:v>
      </x:c>
      <x:c r="J296" s="18" t="n">
        <x:v>14200</x:v>
      </x:c>
      <x:c r="K296" s="16" t="n">
        <x:v>0.15</x:v>
      </x:c>
      <x:c r="L296" s="18" t="n">
        <x:v>8000</x:v>
      </x:c>
      <x:c r="M296" s="11" t="str">
        <x:v>Billetera digital</x:v>
      </x:c>
      <x:c r="N296" s="11" t="n">
        <x:v>0</x:v>
      </x:c>
      <x:c r="O296" s="11" t="str">
        <x:v>No aplica</x:v>
      </x:c>
      <x:c r="P296" s="20" t="n">
        <x:v>4</x:v>
      </x:c>
      <x:c r="Q296" s="18" t="n">
        <x:f>I296*J296</x:f>
        <x:v>28400</x:v>
      </x:c>
      <x:c r="R296" s="18" t="n">
        <x:f>Q296*K296</x:f>
        <x:v>4260</x:v>
      </x:c>
      <x:c r="S296" s="18" t="n">
        <x:f>Q296-R296</x:f>
        <x:v>24140</x:v>
      </x:c>
      <x:c r="T296" s="18" t="n">
        <x:f>I296*L296</x:f>
        <x:v>16000</x:v>
      </x:c>
      <x:c r="U296" s="18" t="n">
        <x:f>S296-T296</x:f>
        <x:v>8140</x:v>
      </x:c>
    </x:row>
    <x:row r="297">
      <x:c r="A297" s="11" t="str">
        <x:v>V-0435</x:v>
      </x:c>
      <x:c r="B297" s="14" t="n">
        <x:v>46170</x:v>
      </x:c>
      <x:c r="C297" s="11" t="str">
        <x:v>Neiva</x:v>
      </x:c>
      <x:c r="D297" s="11" t="str">
        <x:v>Web</x:v>
      </x:c>
      <x:c r="E297" s="11" t="str">
        <x:v>Hogar</x:v>
      </x:c>
      <x:c r="F297" s="11" t="str">
        <x:v>Accesorio hogar</x:v>
      </x:c>
      <x:c r="G297" s="11" t="str">
        <x:v>C-0017</x:v>
      </x:c>
      <x:c r="H297" s="11" t="str">
        <x:v>Recurrente</x:v>
      </x:c>
      <x:c r="I297" s="11" t="n">
        <x:v>1</x:v>
      </x:c>
      <x:c r="J297" s="18" t="n">
        <x:v>29700</x:v>
      </x:c>
      <x:c r="K297" s="16" t="n">
        <x:v>0.15</x:v>
      </x:c>
      <x:c r="L297" s="18" t="n">
        <x:v>18700</x:v>
      </x:c>
      <x:c r="M297" s="11" t="str">
        <x:v>Billetera digital</x:v>
      </x:c>
      <x:c r="N297" s="11" t="n">
        <x:v>38</x:v>
      </x:c>
      <x:c r="O297" s="11" t="str">
        <x:v>A tiempo</x:v>
      </x:c>
      <x:c r="P297" s="20" t="n">
        <x:v>4</x:v>
      </x:c>
      <x:c r="Q297" s="18" t="n">
        <x:f>I297*J297</x:f>
        <x:v>29700</x:v>
      </x:c>
      <x:c r="R297" s="18" t="n">
        <x:f>Q297*K297</x:f>
        <x:v>4455</x:v>
      </x:c>
      <x:c r="S297" s="18" t="n">
        <x:f>Q297-R297</x:f>
        <x:v>25245</x:v>
      </x:c>
      <x:c r="T297" s="18" t="n">
        <x:f>I297*L297</x:f>
        <x:v>18700</x:v>
      </x:c>
      <x:c r="U297" s="18" t="n">
        <x:f>S297-T297</x:f>
        <x:v>6545</x:v>
      </x:c>
    </x:row>
    <x:row r="298">
      <x:c r="A298" s="11" t="str">
        <x:v>V-0441</x:v>
      </x:c>
      <x:c r="B298" s="14" t="n">
        <x:v>46170</x:v>
      </x:c>
      <x:c r="C298" s="11" t="str">
        <x:v>Cali</x:v>
      </x:c>
      <x:c r="D298" s="11" t="str">
        <x:v>Tienda</x:v>
      </x:c>
      <x:c r="E298" s="11" t="str">
        <x:v>Hogar</x:v>
      </x:c>
      <x:c r="F298" s="11" t="str">
        <x:v>Organizador</x:v>
      </x:c>
      <x:c r="G298" s="11" t="str">
        <x:v>C-0086</x:v>
      </x:c>
      <x:c r="H298" s="11" t="str">
        <x:v>Recurrente</x:v>
      </x:c>
      <x:c r="I298" s="11" t="n">
        <x:v>1</x:v>
      </x:c>
      <x:c r="J298" s="18" t="n">
        <x:v>33100</x:v>
      </x:c>
      <x:c r="K298" s="16" t="n">
        <x:v>0.05</x:v>
      </x:c>
      <x:c r="L298" s="18" t="n">
        <x:v>19500</x:v>
      </x:c>
      <x:c r="M298" s="11" t="str">
        <x:v>Transferencia</x:v>
      </x:c>
      <x:c r="N298" s="11" t="n">
        <x:v>0</x:v>
      </x:c>
      <x:c r="O298" s="11" t="str">
        <x:v>No aplica</x:v>
      </x:c>
      <x:c r="P298" s="20" t="n">
        <x:v>5</x:v>
      </x:c>
      <x:c r="Q298" s="18" t="n">
        <x:f>I298*J298</x:f>
        <x:v>33100</x:v>
      </x:c>
      <x:c r="R298" s="18" t="n">
        <x:f>Q298*K298</x:f>
        <x:v>1655</x:v>
      </x:c>
      <x:c r="S298" s="18" t="n">
        <x:f>Q298-R298</x:f>
        <x:v>31445</x:v>
      </x:c>
      <x:c r="T298" s="18" t="n">
        <x:f>I298*L298</x:f>
        <x:v>19500</x:v>
      </x:c>
      <x:c r="U298" s="18" t="n">
        <x:f>S298-T298</x:f>
        <x:v>11945</x:v>
      </x:c>
    </x:row>
    <x:row r="299">
      <x:c r="A299" s="11" t="str">
        <x:v>V-0148</x:v>
      </x:c>
      <x:c r="B299" s="14" t="n">
        <x:v>46171</x:v>
      </x:c>
      <x:c r="C299" s="11" t="str">
        <x:v>Medellín</x:v>
      </x:c>
      <x:c r="D299" s="11" t="str">
        <x:v>Tienda</x:v>
      </x:c>
      <x:c r="E299" s="11" t="str">
        <x:v>Alimentos</x:v>
      </x:c>
      <x:c r="F299" s="11" t="str">
        <x:v>Combo almuerzo</x:v>
      </x:c>
      <x:c r="G299" s="11" t="str">
        <x:v>C-0042</x:v>
      </x:c>
      <x:c r="H299" s="11" t="str">
        <x:v>Recurrente</x:v>
      </x:c>
      <x:c r="I299" s="11" t="n">
        <x:v>3</x:v>
      </x:c>
      <x:c r="J299" s="18" t="n">
        <x:v>22100</x:v>
      </x:c>
      <x:c r="K299" s="16" t="n">
        <x:v>0.1</x:v>
      </x:c>
      <x:c r="L299" s="18" t="n">
        <x:v>13800</x:v>
      </x:c>
      <x:c r="M299" s="11" t="str">
        <x:v>Efectivo</x:v>
      </x:c>
      <x:c r="N299" s="11" t="n">
        <x:v>0</x:v>
      </x:c>
      <x:c r="O299" s="11" t="str">
        <x:v>No aplica</x:v>
      </x:c>
      <x:c r="P299" s="20" t="n">
        <x:v>4</x:v>
      </x:c>
      <x:c r="Q299" s="18" t="n">
        <x:f>I299*J299</x:f>
        <x:v>66300</x:v>
      </x:c>
      <x:c r="R299" s="18" t="n">
        <x:f>Q299*K299</x:f>
        <x:v>6630</x:v>
      </x:c>
      <x:c r="S299" s="18" t="n">
        <x:f>Q299-R299</x:f>
        <x:v>59670</x:v>
      </x:c>
      <x:c r="T299" s="18" t="n">
        <x:f>I299*L299</x:f>
        <x:v>41400</x:v>
      </x:c>
      <x:c r="U299" s="18" t="n">
        <x:f>S299-T299</x:f>
        <x:v>18270</x:v>
      </x:c>
    </x:row>
    <x:row r="300">
      <x:c r="A300" s="11" t="str">
        <x:v>V-0349</x:v>
      </x:c>
      <x:c r="B300" s="14" t="n">
        <x:v>46171</x:v>
      </x:c>
      <x:c r="C300" s="11" t="str">
        <x:v>Medellín</x:v>
      </x:c>
      <x:c r="D300" s="11" t="str">
        <x:v>Tienda</x:v>
      </x:c>
      <x:c r="E300" s="11" t="str">
        <x:v>Bebidas</x:v>
      </x:c>
      <x:c r="F300" s="11" t="str">
        <x:v>Bebida fría</x:v>
      </x:c>
      <x:c r="G300" s="11" t="str">
        <x:v>C-0002</x:v>
      </x:c>
      <x:c r="H300" s="11" t="str">
        <x:v>Nuevo</x:v>
      </x:c>
      <x:c r="I300" s="11" t="n">
        <x:v>6</x:v>
      </x:c>
      <x:c r="J300" s="18" t="n">
        <x:v>7400</x:v>
      </x:c>
      <x:c r="K300" s="16" t="n">
        <x:v>0.05</x:v>
      </x:c>
      <x:c r="L300" s="18" t="n">
        <x:v>4000</x:v>
      </x:c>
      <x:c r="M300" s="11" t="str">
        <x:v>Tarjeta</x:v>
      </x:c>
      <x:c r="N300" s="11" t="n">
        <x:v>0</x:v>
      </x:c>
      <x:c r="O300" s="11" t="str">
        <x:v>No aplica</x:v>
      </x:c>
      <x:c r="P300" s="20" t="n">
        <x:v>5</x:v>
      </x:c>
      <x:c r="Q300" s="18" t="n">
        <x:f>I300*J300</x:f>
        <x:v>44400</x:v>
      </x:c>
      <x:c r="R300" s="18" t="n">
        <x:f>Q300*K300</x:f>
        <x:v>2220</x:v>
      </x:c>
      <x:c r="S300" s="18" t="n">
        <x:f>Q300-R300</x:f>
        <x:v>42180</x:v>
      </x:c>
      <x:c r="T300" s="18" t="n">
        <x:f>I300*L300</x:f>
        <x:v>24000</x:v>
      </x:c>
      <x:c r="U300" s="18" t="n">
        <x:f>S300-T300</x:f>
        <x:v>18180</x:v>
      </x:c>
    </x:row>
    <x:row r="301">
      <x:c r="A301" s="11" t="str">
        <x:v>V-0030</x:v>
      </x:c>
      <x:c r="B301" s="14" t="n">
        <x:v>46173</x:v>
      </x:c>
      <x:c r="C301" s="11" t="str">
        <x:v>Cali</x:v>
      </x:c>
      <x:c r="D301" s="11" t="str">
        <x:v>Web</x:v>
      </x:c>
      <x:c r="E301" s="11" t="str">
        <x:v>Bebidas</x:v>
      </x:c>
      <x:c r="F301" s="11" t="str">
        <x:v>Bebida caliente</x:v>
      </x:c>
      <x:c r="G301" s="11" t="str">
        <x:v>C-0116</x:v>
      </x:c>
      <x:c r="H301" s="11" t="str">
        <x:v>Nuevo</x:v>
      </x:c>
      <x:c r="I301" s="11" t="n">
        <x:v>2</x:v>
      </x:c>
      <x:c r="J301" s="18" t="n">
        <x:v>6900</x:v>
      </x:c>
      <x:c r="K301" s="16" t="n">
        <x:v>0</x:v>
      </x:c>
      <x:c r="L301" s="18" t="n">
        <x:v>3400</x:v>
      </x:c>
      <x:c r="M301" s="11" t="str">
        <x:v>Tarjeta</x:v>
      </x:c>
      <x:c r="N301" s="11" t="n">
        <x:v>28</x:v>
      </x:c>
      <x:c r="O301" s="11" t="str">
        <x:v>A tiempo</x:v>
      </x:c>
      <x:c r="P301" s="20" t="n">
        <x:v>5</x:v>
      </x:c>
      <x:c r="Q301" s="18" t="n">
        <x:f>I301*J301</x:f>
        <x:v>13800</x:v>
      </x:c>
      <x:c r="R301" s="18" t="n">
        <x:f>Q301*K301</x:f>
        <x:v>0</x:v>
      </x:c>
      <x:c r="S301" s="18" t="n">
        <x:f>Q301-R301</x:f>
        <x:v>13800</x:v>
      </x:c>
      <x:c r="T301" s="18" t="n">
        <x:f>I301*L301</x:f>
        <x:v>6800</x:v>
      </x:c>
      <x:c r="U301" s="18" t="n">
        <x:f>S301-T301</x:f>
        <x:v>7000</x:v>
      </x:c>
    </x:row>
    <x:row r="302">
      <x:c r="A302" s="11" t="str">
        <x:v>V-0154</x:v>
      </x:c>
      <x:c r="B302" s="14" t="n">
        <x:v>46173</x:v>
      </x:c>
      <x:c r="C302" s="11" t="str">
        <x:v>Florencia</x:v>
      </x:c>
      <x:c r="D302" s="11" t="str">
        <x:v>Web</x:v>
      </x:c>
      <x:c r="E302" s="11" t="str">
        <x:v>Hogar</x:v>
      </x:c>
      <x:c r="F302" s="11" t="str">
        <x:v>Organizador</x:v>
      </x:c>
      <x:c r="G302" s="11" t="str">
        <x:v>C-0042</x:v>
      </x:c>
      <x:c r="H302" s="11" t="str">
        <x:v>Recurrente</x:v>
      </x:c>
      <x:c r="I302" s="11" t="n">
        <x:v>6</x:v>
      </x:c>
      <x:c r="J302" s="18" t="n">
        <x:v>36900</x:v>
      </x:c>
      <x:c r="K302" s="16" t="n">
        <x:v>0</x:v>
      </x:c>
      <x:c r="L302" s="18" t="n">
        <x:v>22200</x:v>
      </x:c>
      <x:c r="M302" s="11" t="str">
        <x:v>Transferencia</x:v>
      </x:c>
      <x:c r="N302" s="11" t="n">
        <x:v>82</x:v>
      </x:c>
      <x:c r="O302" s="11" t="str">
        <x:v>Tardía</x:v>
      </x:c>
      <x:c r="P302" s="20" t="n">
        <x:v>5</x:v>
      </x:c>
      <x:c r="Q302" s="18" t="n">
        <x:f>I302*J302</x:f>
        <x:v>221400</x:v>
      </x:c>
      <x:c r="R302" s="18" t="n">
        <x:f>Q302*K302</x:f>
        <x:v>0</x:v>
      </x:c>
      <x:c r="S302" s="18" t="n">
        <x:f>Q302-R302</x:f>
        <x:v>221400</x:v>
      </x:c>
      <x:c r="T302" s="18" t="n">
        <x:f>I302*L302</x:f>
        <x:v>133200</x:v>
      </x:c>
      <x:c r="U302" s="18" t="n">
        <x:f>S302-T302</x:f>
        <x:v>88200</x:v>
      </x:c>
    </x:row>
    <x:row r="303">
      <x:c r="A303" s="11" t="str">
        <x:v>V-0273</x:v>
      </x:c>
      <x:c r="B303" s="14" t="n">
        <x:v>46173</x:v>
      </x:c>
      <x:c r="C303" s="11" t="str">
        <x:v>Medellín</x:v>
      </x:c>
      <x:c r="D303" s="11" t="str">
        <x:v>Tienda</x:v>
      </x:c>
      <x:c r="E303" s="11" t="str">
        <x:v>Cuidado personal</x:v>
      </x:c>
      <x:c r="F303" s="11" t="str">
        <x:v>Accesorio personal</x:v>
      </x:c>
      <x:c r="G303" s="11" t="str">
        <x:v>C-0096</x:v>
      </x:c>
      <x:c r="H303" s="11" t="str">
        <x:v>Recurrente</x:v>
      </x:c>
      <x:c r="I303" s="11" t="n">
        <x:v>2</x:v>
      </x:c>
      <x:c r="J303" s="18" t="n">
        <x:v>18400</x:v>
      </x:c>
      <x:c r="K303" s="16" t="n">
        <x:v>0.15</x:v>
      </x:c>
      <x:c r="L303" s="18" t="n">
        <x:v>10600</x:v>
      </x:c>
      <x:c r="M303" s="11" t="str">
        <x:v>Tarjeta</x:v>
      </x:c>
      <x:c r="N303" s="11" t="n">
        <x:v>0</x:v>
      </x:c>
      <x:c r="O303" s="11" t="str">
        <x:v>No aplica</x:v>
      </x:c>
      <x:c r="P303" s="20" t="n">
        <x:v>4</x:v>
      </x:c>
      <x:c r="Q303" s="18" t="n">
        <x:f>I303*J303</x:f>
        <x:v>36800</x:v>
      </x:c>
      <x:c r="R303" s="18" t="n">
        <x:f>Q303*K303</x:f>
        <x:v>5520</x:v>
      </x:c>
      <x:c r="S303" s="18" t="n">
        <x:f>Q303-R303</x:f>
        <x:v>31280</x:v>
      </x:c>
      <x:c r="T303" s="18" t="n">
        <x:f>I303*L303</x:f>
        <x:v>21200</x:v>
      </x:c>
      <x:c r="U303" s="18" t="n">
        <x:f>S303-T303</x:f>
        <x:v>10080</x:v>
      </x:c>
    </x:row>
    <x:row r="304">
      <x:c r="A304" s="11" t="str">
        <x:v>V-0388</x:v>
      </x:c>
      <x:c r="B304" s="14" t="n">
        <x:v>46174</x:v>
      </x:c>
      <x:c r="C304" s="11" t="str">
        <x:v>Cali</x:v>
      </x:c>
      <x:c r="D304" s="11" t="str">
        <x:v>Web</x:v>
      </x:c>
      <x:c r="E304" s="11" t="str">
        <x:v>Hogar</x:v>
      </x:c>
      <x:c r="F304" s="11" t="str">
        <x:v>Accesorio hogar</x:v>
      </x:c>
      <x:c r="G304" s="11" t="str">
        <x:v>C-0104</x:v>
      </x:c>
      <x:c r="H304" s="11" t="str">
        <x:v>Recurrente</x:v>
      </x:c>
      <x:c r="I304" s="11" t="n">
        <x:v>2</x:v>
      </x:c>
      <x:c r="J304" s="18" t="n">
        <x:v>28600</x:v>
      </x:c>
      <x:c r="K304" s="16" t="n">
        <x:v>0</x:v>
      </x:c>
      <x:c r="L304" s="18" t="n">
        <x:v>17100</x:v>
      </x:c>
      <x:c r="M304" s="11" t="str">
        <x:v>Billetera digital</x:v>
      </x:c>
      <x:c r="N304" s="11" t="n">
        <x:v>50</x:v>
      </x:c>
      <x:c r="O304" s="11" t="str">
        <x:v>A tiempo</x:v>
      </x:c>
      <x:c r="P304" s="20" t="n">
        <x:v>4</x:v>
      </x:c>
      <x:c r="Q304" s="18" t="n">
        <x:f>I304*J304</x:f>
        <x:v>57200</x:v>
      </x:c>
      <x:c r="R304" s="18" t="n">
        <x:f>Q304*K304</x:f>
        <x:v>0</x:v>
      </x:c>
      <x:c r="S304" s="18" t="n">
        <x:f>Q304-R304</x:f>
        <x:v>57200</x:v>
      </x:c>
      <x:c r="T304" s="18" t="n">
        <x:f>I304*L304</x:f>
        <x:v>34200</x:v>
      </x:c>
      <x:c r="U304" s="18" t="n">
        <x:f>S304-T304</x:f>
        <x:v>23000</x:v>
      </x:c>
    </x:row>
    <x:row r="305">
      <x:c r="A305" s="11" t="str">
        <x:v>V-0114</x:v>
      </x:c>
      <x:c r="B305" s="14" t="n">
        <x:v>46175</x:v>
      </x:c>
      <x:c r="C305" s="11" t="str">
        <x:v>Neiva</x:v>
      </x:c>
      <x:c r="D305" s="11" t="str">
        <x:v>Tienda</x:v>
      </x:c>
      <x:c r="E305" s="11" t="str">
        <x:v>Hogar</x:v>
      </x:c>
      <x:c r="F305" s="11" t="str">
        <x:v>Accesorio hogar</x:v>
      </x:c>
      <x:c r="G305" s="11" t="str">
        <x:v>C-0058</x:v>
      </x:c>
      <x:c r="H305" s="11" t="str">
        <x:v>Nuevo</x:v>
      </x:c>
      <x:c r="I305" s="11" t="n">
        <x:v>6</x:v>
      </x:c>
      <x:c r="J305" s="18" t="n">
        <x:v>26900</x:v>
      </x:c>
      <x:c r="K305" s="16" t="n">
        <x:v>0.05</x:v>
      </x:c>
      <x:c r="L305" s="18" t="n">
        <x:v>16300</x:v>
      </x:c>
      <x:c r="M305" s="11" t="str">
        <x:v>Transferencia</x:v>
      </x:c>
      <x:c r="N305" s="11" t="n">
        <x:v>0</x:v>
      </x:c>
      <x:c r="O305" s="11" t="str">
        <x:v>No aplica</x:v>
      </x:c>
      <x:c r="P305" s="20" t="n">
        <x:v>5</x:v>
      </x:c>
      <x:c r="Q305" s="18" t="n">
        <x:f>I305*J305</x:f>
        <x:v>161400</x:v>
      </x:c>
      <x:c r="R305" s="18" t="n">
        <x:f>Q305*K305</x:f>
        <x:v>8070</x:v>
      </x:c>
      <x:c r="S305" s="18" t="n">
        <x:f>Q305-R305</x:f>
        <x:v>153330</x:v>
      </x:c>
      <x:c r="T305" s="18" t="n">
        <x:f>I305*L305</x:f>
        <x:v>97800</x:v>
      </x:c>
      <x:c r="U305" s="18" t="n">
        <x:f>S305-T305</x:f>
        <x:v>55530</x:v>
      </x:c>
    </x:row>
    <x:row r="306">
      <x:c r="A306" s="11" t="str">
        <x:v>V-0201</x:v>
      </x:c>
      <x:c r="B306" s="14" t="n">
        <x:v>46175</x:v>
      </x:c>
      <x:c r="C306" s="11" t="str">
        <x:v>Bogotá</x:v>
      </x:c>
      <x:c r="D306" s="11" t="str">
        <x:v>Tienda</x:v>
      </x:c>
      <x:c r="E306" s="11" t="str">
        <x:v>Bebidas</x:v>
      </x:c>
      <x:c r="F306" s="11" t="str">
        <x:v>Bebida premium</x:v>
      </x:c>
      <x:c r="G306" s="11" t="str">
        <x:v>C-0004</x:v>
      </x:c>
      <x:c r="H306" s="11" t="str">
        <x:v>Recurrente</x:v>
      </x:c>
      <x:c r="I306" s="11" t="n">
        <x:v>4</x:v>
      </x:c>
      <x:c r="J306" s="18" t="n">
        <x:v>13700</x:v>
      </x:c>
      <x:c r="K306" s="16" t="n">
        <x:v>0.1</x:v>
      </x:c>
      <x:c r="L306" s="18" t="n">
        <x:v>7700</x:v>
      </x:c>
      <x:c r="M306" s="11" t="str">
        <x:v>Efectivo</x:v>
      </x:c>
      <x:c r="N306" s="11" t="n">
        <x:v>0</x:v>
      </x:c>
      <x:c r="O306" s="11" t="str">
        <x:v>No aplica</x:v>
      </x:c>
      <x:c r="P306" s="20" t="n">
        <x:v>5</x:v>
      </x:c>
      <x:c r="Q306" s="18" t="n">
        <x:f>I306*J306</x:f>
        <x:v>54800</x:v>
      </x:c>
      <x:c r="R306" s="18" t="n">
        <x:f>Q306*K306</x:f>
        <x:v>5480</x:v>
      </x:c>
      <x:c r="S306" s="18" t="n">
        <x:f>Q306-R306</x:f>
        <x:v>49320</x:v>
      </x:c>
      <x:c r="T306" s="18" t="n">
        <x:f>I306*L306</x:f>
        <x:v>30800</x:v>
      </x:c>
      <x:c r="U306" s="18" t="n">
        <x:f>S306-T306</x:f>
        <x:v>18520</x:v>
      </x:c>
    </x:row>
    <x:row r="307">
      <x:c r="A307" s="11" t="str">
        <x:v>V-0240</x:v>
      </x:c>
      <x:c r="B307" s="14" t="n">
        <x:v>46175</x:v>
      </x:c>
      <x:c r="C307" s="11" t="str">
        <x:v>Bogotá</x:v>
      </x:c>
      <x:c r="D307" s="11" t="str">
        <x:v>Web</x:v>
      </x:c>
      <x:c r="E307" s="11" t="str">
        <x:v>Alimentos</x:v>
      </x:c>
      <x:c r="F307" s="11" t="str">
        <x:v>Snack saludable</x:v>
      </x:c>
      <x:c r="G307" s="11" t="str">
        <x:v>C-0088</x:v>
      </x:c>
      <x:c r="H307" s="11" t="str">
        <x:v>Recurrente</x:v>
      </x:c>
      <x:c r="I307" s="11" t="n">
        <x:v>4</x:v>
      </x:c>
      <x:c r="J307" s="18" t="n">
        <x:v>9100</x:v>
      </x:c>
      <x:c r="K307" s="16" t="n">
        <x:v>0.05</x:v>
      </x:c>
      <x:c r="L307" s="18" t="n">
        <x:v>5500</x:v>
      </x:c>
      <x:c r="M307" s="11" t="str">
        <x:v>Tarjeta</x:v>
      </x:c>
      <x:c r="N307" s="11" t="n">
        <x:v>70</x:v>
      </x:c>
      <x:c r="O307" s="11" t="str">
        <x:v>Tardía</x:v>
      </x:c>
      <x:c r="P307" s="20" t="n">
        <x:v>5</x:v>
      </x:c>
      <x:c r="Q307" s="18" t="n">
        <x:f>I307*J307</x:f>
        <x:v>36400</x:v>
      </x:c>
      <x:c r="R307" s="18" t="n">
        <x:f>Q307*K307</x:f>
        <x:v>1820</x:v>
      </x:c>
      <x:c r="S307" s="18" t="n">
        <x:f>Q307-R307</x:f>
        <x:v>34580</x:v>
      </x:c>
      <x:c r="T307" s="18" t="n">
        <x:f>I307*L307</x:f>
        <x:v>22000</x:v>
      </x:c>
      <x:c r="U307" s="18" t="n">
        <x:f>S307-T307</x:f>
        <x:v>12580</x:v>
      </x:c>
    </x:row>
    <x:row r="308">
      <x:c r="A308" s="11" t="str">
        <x:v>V-0384</x:v>
      </x:c>
      <x:c r="B308" s="14" t="n">
        <x:v>46176</x:v>
      </x:c>
      <x:c r="C308" s="11" t="str">
        <x:v>Ibagué</x:v>
      </x:c>
      <x:c r="D308" s="11" t="str">
        <x:v>Web</x:v>
      </x:c>
      <x:c r="E308" s="11" t="str">
        <x:v>Hogar</x:v>
      </x:c>
      <x:c r="F308" s="11" t="str">
        <x:v>Organizador</x:v>
      </x:c>
      <x:c r="G308" s="11" t="str">
        <x:v>C-0035</x:v>
      </x:c>
      <x:c r="H308" s="11" t="str">
        <x:v>Recurrente</x:v>
      </x:c>
      <x:c r="I308" s="11" t="n">
        <x:v>4</x:v>
      </x:c>
      <x:c r="J308" s="18" t="n">
        <x:v>36600</x:v>
      </x:c>
      <x:c r="K308" s="16" t="n">
        <x:v>0.15</x:v>
      </x:c>
      <x:c r="L308" s="18" t="n">
        <x:v>21300</x:v>
      </x:c>
      <x:c r="M308" s="11" t="str">
        <x:v>Transferencia</x:v>
      </x:c>
      <x:c r="N308" s="11" t="n">
        <x:v>53</x:v>
      </x:c>
      <x:c r="O308" s="11" t="str">
        <x:v>A tiempo</x:v>
      </x:c>
      <x:c r="P308" s="20" t="n">
        <x:v>5</x:v>
      </x:c>
      <x:c r="Q308" s="18" t="n">
        <x:f>I308*J308</x:f>
        <x:v>146400</x:v>
      </x:c>
      <x:c r="R308" s="18" t="n">
        <x:f>Q308*K308</x:f>
        <x:v>21960</x:v>
      </x:c>
      <x:c r="S308" s="18" t="n">
        <x:f>Q308-R308</x:f>
        <x:v>124440</x:v>
      </x:c>
      <x:c r="T308" s="18" t="n">
        <x:f>I308*L308</x:f>
        <x:v>85200</x:v>
      </x:c>
      <x:c r="U308" s="18" t="n">
        <x:f>S308-T308</x:f>
        <x:v>39240</x:v>
      </x:c>
    </x:row>
    <x:row r="309">
      <x:c r="A309" s="11" t="str">
        <x:v>V-0105</x:v>
      </x:c>
      <x:c r="B309" s="14" t="n">
        <x:v>46177</x:v>
      </x:c>
      <x:c r="C309" s="11" t="str">
        <x:v>Neiva</x:v>
      </x:c>
      <x:c r="D309" s="11" t="str">
        <x:v>Tienda</x:v>
      </x:c>
      <x:c r="E309" s="11" t="str">
        <x:v>Alimentos</x:v>
      </x:c>
      <x:c r="F309" s="11" t="str">
        <x:v>Snack saludable</x:v>
      </x:c>
      <x:c r="G309" s="11" t="str">
        <x:v>C-0116</x:v>
      </x:c>
      <x:c r="H309" s="11" t="str">
        <x:v>Recurrente</x:v>
      </x:c>
      <x:c r="I309" s="11" t="n">
        <x:v>3</x:v>
      </x:c>
      <x:c r="J309" s="18" t="n">
        <x:v>8800</x:v>
      </x:c>
      <x:c r="K309" s="16" t="n">
        <x:v>0</x:v>
      </x:c>
      <x:c r="L309" s="18" t="n">
        <x:v>4900</x:v>
      </x:c>
      <x:c r="M309" s="11" t="str">
        <x:v>Efectivo</x:v>
      </x:c>
      <x:c r="N309" s="11" t="n">
        <x:v>0</x:v>
      </x:c>
      <x:c r="O309" s="11" t="str">
        <x:v>No aplica</x:v>
      </x:c>
      <x:c r="P309" s="20" t="n">
        <x:v>5</x:v>
      </x:c>
      <x:c r="Q309" s="18" t="n">
        <x:f>I309*J309</x:f>
        <x:v>26400</x:v>
      </x:c>
      <x:c r="R309" s="18" t="n">
        <x:f>Q309*K309</x:f>
        <x:v>0</x:v>
      </x:c>
      <x:c r="S309" s="18" t="n">
        <x:f>Q309-R309</x:f>
        <x:v>26400</x:v>
      </x:c>
      <x:c r="T309" s="18" t="n">
        <x:f>I309*L309</x:f>
        <x:v>14700</x:v>
      </x:c>
      <x:c r="U309" s="18" t="n">
        <x:f>S309-T309</x:f>
        <x:v>11700</x:v>
      </x:c>
    </x:row>
    <x:row r="310">
      <x:c r="A310" s="11" t="str">
        <x:v>V-0437</x:v>
      </x:c>
      <x:c r="B310" s="14" t="n">
        <x:v>46177</x:v>
      </x:c>
      <x:c r="C310" s="11" t="str">
        <x:v>Cali</x:v>
      </x:c>
      <x:c r="D310" s="11" t="str">
        <x:v>App</x:v>
      </x:c>
      <x:c r="E310" s="11" t="str">
        <x:v>Bebidas</x:v>
      </x:c>
      <x:c r="F310" s="11" t="str">
        <x:v>Bebida caliente</x:v>
      </x:c>
      <x:c r="G310" s="11" t="str">
        <x:v>C-0042</x:v>
      </x:c>
      <x:c r="H310" s="11" t="str">
        <x:v>Recurrente</x:v>
      </x:c>
      <x:c r="I310" s="11" t="n">
        <x:v>1</x:v>
      </x:c>
      <x:c r="J310" s="18" t="n">
        <x:v>6200</x:v>
      </x:c>
      <x:c r="K310" s="16" t="n">
        <x:v>0.15</x:v>
      </x:c>
      <x:c r="L310" s="18" t="n">
        <x:v>2800</x:v>
      </x:c>
      <x:c r="M310" s="11" t="str">
        <x:v>Tarjeta</x:v>
      </x:c>
      <x:c r="N310" s="11" t="n">
        <x:v>63</x:v>
      </x:c>
      <x:c r="O310" s="11" t="str">
        <x:v>Tardía</x:v>
      </x:c>
      <x:c r="P310" s="20" t="n">
        <x:v>4</x:v>
      </x:c>
      <x:c r="Q310" s="18" t="n">
        <x:f>I310*J310</x:f>
        <x:v>6200</x:v>
      </x:c>
      <x:c r="R310" s="18" t="n">
        <x:f>Q310*K310</x:f>
        <x:v>930</x:v>
      </x:c>
      <x:c r="S310" s="18" t="n">
        <x:f>Q310-R310</x:f>
        <x:v>5270</x:v>
      </x:c>
      <x:c r="T310" s="18" t="n">
        <x:f>I310*L310</x:f>
        <x:v>2800</x:v>
      </x:c>
      <x:c r="U310" s="18" t="n">
        <x:f>S310-T310</x:f>
        <x:v>2470</x:v>
      </x:c>
    </x:row>
    <x:row r="311">
      <x:c r="A311" s="11" t="str">
        <x:v>V-0460</x:v>
      </x:c>
      <x:c r="B311" s="14" t="n">
        <x:v>46177</x:v>
      </x:c>
      <x:c r="C311" s="11" t="str">
        <x:v>Cali</x:v>
      </x:c>
      <x:c r="D311" s="11" t="str">
        <x:v>Tienda</x:v>
      </x:c>
      <x:c r="E311" s="11" t="str">
        <x:v>Cuidado personal</x:v>
      </x:c>
      <x:c r="F311" s="11" t="str">
        <x:v>Accesorio personal</x:v>
      </x:c>
      <x:c r="G311" s="11" t="str">
        <x:v>C-0095</x:v>
      </x:c>
      <x:c r="H311" s="11" t="str">
        <x:v>Recurrente</x:v>
      </x:c>
      <x:c r="I311" s="11" t="n">
        <x:v>1</x:v>
      </x:c>
      <x:c r="J311" s="18" t="n">
        <x:v>16800</x:v>
      </x:c>
      <x:c r="K311" s="16" t="n">
        <x:v>0.1</x:v>
      </x:c>
      <x:c r="L311" s="18" t="n">
        <x:v>9600</x:v>
      </x:c>
      <x:c r="M311" s="11" t="str">
        <x:v>Transferencia</x:v>
      </x:c>
      <x:c r="N311" s="11" t="n">
        <x:v>0</x:v>
      </x:c>
      <x:c r="O311" s="11" t="str">
        <x:v>No aplica</x:v>
      </x:c>
      <x:c r="P311" s="20" t="n">
        <x:v>4</x:v>
      </x:c>
      <x:c r="Q311" s="18" t="n">
        <x:f>I311*J311</x:f>
        <x:v>16800</x:v>
      </x:c>
      <x:c r="R311" s="18" t="n">
        <x:f>Q311*K311</x:f>
        <x:v>1680</x:v>
      </x:c>
      <x:c r="S311" s="18" t="n">
        <x:f>Q311-R311</x:f>
        <x:v>15120</x:v>
      </x:c>
      <x:c r="T311" s="18" t="n">
        <x:f>I311*L311</x:f>
        <x:v>9600</x:v>
      </x:c>
      <x:c r="U311" s="18" t="n">
        <x:f>S311-T311</x:f>
        <x:v>5520</x:v>
      </x:c>
    </x:row>
    <x:row r="312">
      <x:c r="A312" s="11" t="str">
        <x:v>V-0140</x:v>
      </x:c>
      <x:c r="B312" s="14" t="n">
        <x:v>46178</x:v>
      </x:c>
      <x:c r="C312" s="11" t="str">
        <x:v>Medellín</x:v>
      </x:c>
      <x:c r="D312" s="11" t="str">
        <x:v>Tienda</x:v>
      </x:c>
      <x:c r="E312" s="11" t="str">
        <x:v>Bebidas</x:v>
      </x:c>
      <x:c r="F312" s="11" t="str">
        <x:v>Bebida fría</x:v>
      </x:c>
      <x:c r="G312" s="11" t="str">
        <x:v>C-0086</x:v>
      </x:c>
      <x:c r="H312" s="11" t="str">
        <x:v>Recurrente</x:v>
      </x:c>
      <x:c r="I312" s="11" t="n">
        <x:v>1</x:v>
      </x:c>
      <x:c r="J312" s="18" t="n">
        <x:v>6400</x:v>
      </x:c>
      <x:c r="K312" s="16" t="n">
        <x:v>0.05</x:v>
      </x:c>
      <x:c r="L312" s="18" t="n">
        <x:v>3200</x:v>
      </x:c>
      <x:c r="M312" s="11" t="str">
        <x:v>Tarjeta</x:v>
      </x:c>
      <x:c r="N312" s="11" t="n">
        <x:v>0</x:v>
      </x:c>
      <x:c r="O312" s="11" t="str">
        <x:v>No aplica</x:v>
      </x:c>
      <x:c r="P312" s="20" t="n">
        <x:v>4</x:v>
      </x:c>
      <x:c r="Q312" s="18" t="n">
        <x:f>I312*J312</x:f>
        <x:v>6400</x:v>
      </x:c>
      <x:c r="R312" s="18" t="n">
        <x:f>Q312*K312</x:f>
        <x:v>320</x:v>
      </x:c>
      <x:c r="S312" s="18" t="n">
        <x:f>Q312-R312</x:f>
        <x:v>6080</x:v>
      </x:c>
      <x:c r="T312" s="18" t="n">
        <x:f>I312*L312</x:f>
        <x:v>3200</x:v>
      </x:c>
      <x:c r="U312" s="18" t="n">
        <x:f>S312-T312</x:f>
        <x:v>2880</x:v>
      </x:c>
    </x:row>
    <x:row r="313">
      <x:c r="A313" s="11" t="str">
        <x:v>V-0200</x:v>
      </x:c>
      <x:c r="B313" s="14" t="n">
        <x:v>46178</x:v>
      </x:c>
      <x:c r="C313" s="11" t="str">
        <x:v>Medellín</x:v>
      </x:c>
      <x:c r="D313" s="11" t="str">
        <x:v>App</x:v>
      </x:c>
      <x:c r="E313" s="11" t="str">
        <x:v>Cuidado personal</x:v>
      </x:c>
      <x:c r="F313" s="11" t="str">
        <x:v>Kit cuidado</x:v>
      </x:c>
      <x:c r="G313" s="11" t="str">
        <x:v>C-0102</x:v>
      </x:c>
      <x:c r="H313" s="11" t="str">
        <x:v>Recurrente</x:v>
      </x:c>
      <x:c r="I313" s="11" t="n">
        <x:v>3</x:v>
      </x:c>
      <x:c r="J313" s="18" t="n">
        <x:v>43500</x:v>
      </x:c>
      <x:c r="K313" s="16" t="n">
        <x:v>0</x:v>
      </x:c>
      <x:c r="L313" s="18" t="n">
        <x:v>28000</x:v>
      </x:c>
      <x:c r="M313" s="11" t="str">
        <x:v>Efectivo</x:v>
      </x:c>
      <x:c r="N313" s="11" t="n">
        <x:v>51</x:v>
      </x:c>
      <x:c r="O313" s="11" t="str">
        <x:v>A tiempo</x:v>
      </x:c>
      <x:c r="P313" s="20" t="n">
        <x:v>4</x:v>
      </x:c>
      <x:c r="Q313" s="18" t="n">
        <x:f>I313*J313</x:f>
        <x:v>130500</x:v>
      </x:c>
      <x:c r="R313" s="18" t="n">
        <x:f>Q313*K313</x:f>
        <x:v>0</x:v>
      </x:c>
      <x:c r="S313" s="18" t="n">
        <x:f>Q313-R313</x:f>
        <x:v>130500</x:v>
      </x:c>
      <x:c r="T313" s="18" t="n">
        <x:f>I313*L313</x:f>
        <x:v>84000</x:v>
      </x:c>
      <x:c r="U313" s="18" t="n">
        <x:f>S313-T313</x:f>
        <x:v>46500</x:v>
      </x:c>
    </x:row>
    <x:row r="314">
      <x:c r="A314" s="11" t="str">
        <x:v>V-0266</x:v>
      </x:c>
      <x:c r="B314" s="14" t="n">
        <x:v>46178</x:v>
      </x:c>
      <x:c r="C314" s="11" t="str">
        <x:v>Bogotá</x:v>
      </x:c>
      <x:c r="D314" s="11" t="str">
        <x:v>Web</x:v>
      </x:c>
      <x:c r="E314" s="11" t="str">
        <x:v>Alimentos</x:v>
      </x:c>
      <x:c r="F314" s="11" t="str">
        <x:v>Producto gourmet</x:v>
      </x:c>
      <x:c r="G314" s="11" t="str">
        <x:v>C-0057</x:v>
      </x:c>
      <x:c r="H314" s="11" t="str">
        <x:v>Recurrente</x:v>
      </x:c>
      <x:c r="I314" s="11" t="n">
        <x:v>2</x:v>
      </x:c>
      <x:c r="J314" s="18" t="n">
        <x:v>31600</x:v>
      </x:c>
      <x:c r="K314" s="16" t="n">
        <x:v>0.1</x:v>
      </x:c>
      <x:c r="L314" s="18" t="n">
        <x:v>21000</x:v>
      </x:c>
      <x:c r="M314" s="11" t="str">
        <x:v>Billetera digital</x:v>
      </x:c>
      <x:c r="N314" s="11" t="n">
        <x:v>68</x:v>
      </x:c>
      <x:c r="O314" s="11" t="str">
        <x:v>Tardía</x:v>
      </x:c>
      <x:c r="P314" s="20" t="n">
        <x:v>4</x:v>
      </x:c>
      <x:c r="Q314" s="18" t="n">
        <x:f>I314*J314</x:f>
        <x:v>63200</x:v>
      </x:c>
      <x:c r="R314" s="18" t="n">
        <x:f>Q314*K314</x:f>
        <x:v>6320</x:v>
      </x:c>
      <x:c r="S314" s="18" t="n">
        <x:f>Q314-R314</x:f>
        <x:v>56880</x:v>
      </x:c>
      <x:c r="T314" s="18" t="n">
        <x:f>I314*L314</x:f>
        <x:v>42000</x:v>
      </x:c>
      <x:c r="U314" s="18" t="n">
        <x:f>S314-T314</x:f>
        <x:v>14880</x:v>
      </x:c>
    </x:row>
    <x:row r="315">
      <x:c r="A315" s="11" t="str">
        <x:v>V-0157</x:v>
      </x:c>
      <x:c r="B315" s="14" t="n">
        <x:v>46179</x:v>
      </x:c>
      <x:c r="C315" s="11" t="str">
        <x:v>Florencia</x:v>
      </x:c>
      <x:c r="D315" s="11" t="str">
        <x:v>Web</x:v>
      </x:c>
      <x:c r="E315" s="11" t="str">
        <x:v>Alimentos</x:v>
      </x:c>
      <x:c r="F315" s="11" t="str">
        <x:v>Producto gourmet</x:v>
      </x:c>
      <x:c r="G315" s="11" t="str">
        <x:v>C-0021</x:v>
      </x:c>
      <x:c r="H315" s="11" t="str">
        <x:v>Recurrente</x:v>
      </x:c>
      <x:c r="I315" s="11" t="n">
        <x:v>1</x:v>
      </x:c>
      <x:c r="J315" s="18" t="n">
        <x:v>33300</x:v>
      </x:c>
      <x:c r="K315" s="16" t="n">
        <x:v>0.05</x:v>
      </x:c>
      <x:c r="L315" s="18" t="n">
        <x:v>21800</x:v>
      </x:c>
      <x:c r="M315" s="11" t="str">
        <x:v>Billetera digital</x:v>
      </x:c>
      <x:c r="N315" s="11" t="n">
        <x:v>51</x:v>
      </x:c>
      <x:c r="O315" s="11" t="str">
        <x:v>A tiempo</x:v>
      </x:c>
      <x:c r="P315" s="20" t="n">
        <x:v>5</x:v>
      </x:c>
      <x:c r="Q315" s="18" t="n">
        <x:f>I315*J315</x:f>
        <x:v>33300</x:v>
      </x:c>
      <x:c r="R315" s="18" t="n">
        <x:f>Q315*K315</x:f>
        <x:v>1665</x:v>
      </x:c>
      <x:c r="S315" s="18" t="n">
        <x:f>Q315-R315</x:f>
        <x:v>31635</x:v>
      </x:c>
      <x:c r="T315" s="18" t="n">
        <x:f>I315*L315</x:f>
        <x:v>21800</x:v>
      </x:c>
      <x:c r="U315" s="18" t="n">
        <x:f>S315-T315</x:f>
        <x:v>9835</x:v>
      </x:c>
    </x:row>
    <x:row r="316">
      <x:c r="A316" s="11" t="str">
        <x:v>V-0345</x:v>
      </x:c>
      <x:c r="B316" s="14" t="n">
        <x:v>46179</x:v>
      </x:c>
      <x:c r="C316" s="11" t="str">
        <x:v>Ibagué</x:v>
      </x:c>
      <x:c r="D316" s="11" t="str">
        <x:v>Tienda</x:v>
      </x:c>
      <x:c r="E316" s="11" t="str">
        <x:v>Cuidado personal</x:v>
      </x:c>
      <x:c r="F316" s="11" t="str">
        <x:v>Producto bienestar</x:v>
      </x:c>
      <x:c r="G316" s="11" t="str">
        <x:v>C-0118</x:v>
      </x:c>
      <x:c r="H316" s="11" t="str">
        <x:v>Recurrente</x:v>
      </x:c>
      <x:c r="I316" s="11" t="n">
        <x:v>2</x:v>
      </x:c>
      <x:c r="J316" s="18" t="n">
        <x:v>31900</x:v>
      </x:c>
      <x:c r="K316" s="16" t="n">
        <x:v>0.1</x:v>
      </x:c>
      <x:c r="L316" s="18" t="n">
        <x:v>19900</x:v>
      </x:c>
      <x:c r="M316" s="11" t="str">
        <x:v>Efectivo</x:v>
      </x:c>
      <x:c r="N316" s="11" t="n">
        <x:v>0</x:v>
      </x:c>
      <x:c r="O316" s="11" t="str">
        <x:v>No aplica</x:v>
      </x:c>
      <x:c r="P316" s="20" t="n">
        <x:v>5</x:v>
      </x:c>
      <x:c r="Q316" s="18" t="n">
        <x:f>I316*J316</x:f>
        <x:v>63800</x:v>
      </x:c>
      <x:c r="R316" s="18" t="n">
        <x:f>Q316*K316</x:f>
        <x:v>6380</x:v>
      </x:c>
      <x:c r="S316" s="18" t="n">
        <x:f>Q316-R316</x:f>
        <x:v>57420</x:v>
      </x:c>
      <x:c r="T316" s="18" t="n">
        <x:f>I316*L316</x:f>
        <x:v>39800</x:v>
      </x:c>
      <x:c r="U316" s="18" t="n">
        <x:f>S316-T316</x:f>
        <x:v>17620</x:v>
      </x:c>
    </x:row>
    <x:row r="317">
      <x:c r="A317" s="11" t="str">
        <x:v>V-0087</x:v>
      </x:c>
      <x:c r="B317" s="14" t="n">
        <x:v>46180</x:v>
      </x:c>
      <x:c r="C317" s="11" t="str">
        <x:v>Bogotá</x:v>
      </x:c>
      <x:c r="D317" s="11" t="str">
        <x:v>App</x:v>
      </x:c>
      <x:c r="E317" s="11" t="str">
        <x:v>Alimentos</x:v>
      </x:c>
      <x:c r="F317" s="11" t="str">
        <x:v>Snack saludable</x:v>
      </x:c>
      <x:c r="G317" s="11" t="str">
        <x:v>C-0101</x:v>
      </x:c>
      <x:c r="H317" s="11" t="str">
        <x:v>Nuevo</x:v>
      </x:c>
      <x:c r="I317" s="11" t="n">
        <x:v>2</x:v>
      </x:c>
      <x:c r="J317" s="18" t="n">
        <x:v>8100</x:v>
      </x:c>
      <x:c r="K317" s="16" t="n">
        <x:v>0</x:v>
      </x:c>
      <x:c r="L317" s="18" t="n">
        <x:v>4600</x:v>
      </x:c>
      <x:c r="M317" s="11" t="str">
        <x:v>Billetera digital</x:v>
      </x:c>
      <x:c r="N317" s="11" t="n">
        <x:v>29</x:v>
      </x:c>
      <x:c r="O317" s="11" t="str">
        <x:v>A tiempo</x:v>
      </x:c>
      <x:c r="P317" s="20" t="n">
        <x:v>5</x:v>
      </x:c>
      <x:c r="Q317" s="18" t="n">
        <x:f>I317*J317</x:f>
        <x:v>16200</x:v>
      </x:c>
      <x:c r="R317" s="18" t="n">
        <x:f>Q317*K317</x:f>
        <x:v>0</x:v>
      </x:c>
      <x:c r="S317" s="18" t="n">
        <x:f>Q317-R317</x:f>
        <x:v>16200</x:v>
      </x:c>
      <x:c r="T317" s="18" t="n">
        <x:f>I317*L317</x:f>
        <x:v>9200</x:v>
      </x:c>
      <x:c r="U317" s="18" t="n">
        <x:f>S317-T317</x:f>
        <x:v>7000</x:v>
      </x:c>
    </x:row>
    <x:row r="318">
      <x:c r="A318" s="11" t="str">
        <x:v>V-0092</x:v>
      </x:c>
      <x:c r="B318" s="14" t="n">
        <x:v>46180</x:v>
      </x:c>
      <x:c r="C318" s="11" t="str">
        <x:v>Ibagué</x:v>
      </x:c>
      <x:c r="D318" s="11" t="str">
        <x:v>App</x:v>
      </x:c>
      <x:c r="E318" s="11" t="str">
        <x:v>Bebidas</x:v>
      </x:c>
      <x:c r="F318" s="11" t="str">
        <x:v>Bebida premium</x:v>
      </x:c>
      <x:c r="G318" s="11" t="str">
        <x:v>C-0011</x:v>
      </x:c>
      <x:c r="H318" s="11" t="str">
        <x:v>Nuevo</x:v>
      </x:c>
      <x:c r="I318" s="11" t="n">
        <x:v>4</x:v>
      </x:c>
      <x:c r="J318" s="18" t="n">
        <x:v>13200</x:v>
      </x:c>
      <x:c r="K318" s="16" t="n">
        <x:v>0.05</x:v>
      </x:c>
      <x:c r="L318" s="18" t="n">
        <x:v>7300</x:v>
      </x:c>
      <x:c r="M318" s="11" t="str">
        <x:v>Transferencia</x:v>
      </x:c>
      <x:c r="N318" s="11" t="n">
        <x:v>28</x:v>
      </x:c>
      <x:c r="O318" s="11" t="str">
        <x:v>A tiempo</x:v>
      </x:c>
      <x:c r="P318" s="20" t="n">
        <x:v>4</x:v>
      </x:c>
      <x:c r="Q318" s="18" t="n">
        <x:f>I318*J318</x:f>
        <x:v>52800</x:v>
      </x:c>
      <x:c r="R318" s="18" t="n">
        <x:f>Q318*K318</x:f>
        <x:v>2640</x:v>
      </x:c>
      <x:c r="S318" s="18" t="n">
        <x:f>Q318-R318</x:f>
        <x:v>50160</x:v>
      </x:c>
      <x:c r="T318" s="18" t="n">
        <x:f>I318*L318</x:f>
        <x:v>29200</x:v>
      </x:c>
      <x:c r="U318" s="18" t="n">
        <x:f>S318-T318</x:f>
        <x:v>20960</x:v>
      </x:c>
    </x:row>
    <x:row r="319">
      <x:c r="A319" s="11" t="str">
        <x:v>V-0318</x:v>
      </x:c>
      <x:c r="B319" s="14" t="n">
        <x:v>46180</x:v>
      </x:c>
      <x:c r="C319" s="11" t="str">
        <x:v>Medellín</x:v>
      </x:c>
      <x:c r="D319" s="11" t="str">
        <x:v>Web</x:v>
      </x:c>
      <x:c r="E319" s="11" t="str">
        <x:v>Cuidado personal</x:v>
      </x:c>
      <x:c r="F319" s="11" t="str">
        <x:v>Accesorio personal</x:v>
      </x:c>
      <x:c r="G319" s="11" t="str">
        <x:v>C-0100</x:v>
      </x:c>
      <x:c r="H319" s="11" t="str">
        <x:v>Recurrente</x:v>
      </x:c>
      <x:c r="I319" s="11" t="n">
        <x:v>2</x:v>
      </x:c>
      <x:c r="J319" s="18" t="n">
        <x:v>19700</x:v>
      </x:c>
      <x:c r="K319" s="16" t="n">
        <x:v>0.1</x:v>
      </x:c>
      <x:c r="L319" s="18" t="n">
        <x:v>10700</x:v>
      </x:c>
      <x:c r="M319" s="11" t="str">
        <x:v>Tarjeta</x:v>
      </x:c>
      <x:c r="N319" s="11" t="n">
        <x:v>55</x:v>
      </x:c>
      <x:c r="O319" s="11" t="str">
        <x:v>A tiempo</x:v>
      </x:c>
      <x:c r="P319" s="20" t="n">
        <x:v>4</x:v>
      </x:c>
      <x:c r="Q319" s="18" t="n">
        <x:f>I319*J319</x:f>
        <x:v>39400</x:v>
      </x:c>
      <x:c r="R319" s="18" t="n">
        <x:f>Q319*K319</x:f>
        <x:v>3940</x:v>
      </x:c>
      <x:c r="S319" s="18" t="n">
        <x:f>Q319-R319</x:f>
        <x:v>35460</x:v>
      </x:c>
      <x:c r="T319" s="18" t="n">
        <x:f>I319*L319</x:f>
        <x:v>21400</x:v>
      </x:c>
      <x:c r="U319" s="18" t="n">
        <x:f>S319-T319</x:f>
        <x:v>14060</x:v>
      </x:c>
    </x:row>
    <x:row r="320">
      <x:c r="A320" s="11" t="str">
        <x:v>V-0367</x:v>
      </x:c>
      <x:c r="B320" s="14" t="n">
        <x:v>46180</x:v>
      </x:c>
      <x:c r="C320" s="11" t="str">
        <x:v>Bogotá</x:v>
      </x:c>
      <x:c r="D320" s="11" t="str">
        <x:v>App</x:v>
      </x:c>
      <x:c r="E320" s="11" t="str">
        <x:v>Cuidado personal</x:v>
      </x:c>
      <x:c r="F320" s="11" t="str">
        <x:v>Kit cuidado</x:v>
      </x:c>
      <x:c r="G320" s="11" t="str">
        <x:v>C-0002</x:v>
      </x:c>
      <x:c r="H320" s="11" t="str">
        <x:v>Recurrente</x:v>
      </x:c>
      <x:c r="I320" s="11" t="n">
        <x:v>1</x:v>
      </x:c>
      <x:c r="J320" s="18" t="n">
        <x:v>45500</x:v>
      </x:c>
      <x:c r="K320" s="16" t="n">
        <x:v>0</x:v>
      </x:c>
      <x:c r="L320" s="18" t="n">
        <x:v>27600</x:v>
      </x:c>
      <x:c r="M320" s="11" t="str">
        <x:v>Billetera digital</x:v>
      </x:c>
      <x:c r="N320" s="11" t="n">
        <x:v>69</x:v>
      </x:c>
      <x:c r="O320" s="11" t="str">
        <x:v>Tardía</x:v>
      </x:c>
      <x:c r="P320" s="20" t="n">
        <x:v>5</x:v>
      </x:c>
      <x:c r="Q320" s="18" t="n">
        <x:f>I320*J320</x:f>
        <x:v>45500</x:v>
      </x:c>
      <x:c r="R320" s="18" t="n">
        <x:f>Q320*K320</x:f>
        <x:v>0</x:v>
      </x:c>
      <x:c r="S320" s="18" t="n">
        <x:f>Q320-R320</x:f>
        <x:v>45500</x:v>
      </x:c>
      <x:c r="T320" s="18" t="n">
        <x:f>I320*L320</x:f>
        <x:v>27600</x:v>
      </x:c>
      <x:c r="U320" s="18" t="n">
        <x:f>S320-T320</x:f>
        <x:v>17900</x:v>
      </x:c>
    </x:row>
    <x:row r="321">
      <x:c r="A321" s="11" t="str">
        <x:v>V-0075</x:v>
      </x:c>
      <x:c r="B321" s="14" t="n">
        <x:v>46181</x:v>
      </x:c>
      <x:c r="C321" s="11" t="str">
        <x:v>Florencia</x:v>
      </x:c>
      <x:c r="D321" s="11" t="str">
        <x:v>App</x:v>
      </x:c>
      <x:c r="E321" s="11" t="str">
        <x:v>Alimentos</x:v>
      </x:c>
      <x:c r="F321" s="11" t="str">
        <x:v>Combo almuerzo</x:v>
      </x:c>
      <x:c r="G321" s="11" t="str">
        <x:v>C-0069</x:v>
      </x:c>
      <x:c r="H321" s="11" t="str">
        <x:v>Recurrente</x:v>
      </x:c>
      <x:c r="I321" s="11" t="n">
        <x:v>2</x:v>
      </x:c>
      <x:c r="J321" s="18" t="n">
        <x:v>22500</x:v>
      </x:c>
      <x:c r="K321" s="16" t="n">
        <x:v>0.2</x:v>
      </x:c>
      <x:c r="L321" s="18" t="n">
        <x:v>13200</x:v>
      </x:c>
      <x:c r="M321" s="11" t="str">
        <x:v>Tarjeta</x:v>
      </x:c>
      <x:c r="N321" s="11" t="n">
        <x:v>56</x:v>
      </x:c>
      <x:c r="O321" s="11" t="str">
        <x:v>A tiempo</x:v>
      </x:c>
      <x:c r="P321" s="20" t="n">
        <x:v>4</x:v>
      </x:c>
      <x:c r="Q321" s="18" t="n">
        <x:f>I321*J321</x:f>
        <x:v>45000</x:v>
      </x:c>
      <x:c r="R321" s="18" t="n">
        <x:f>Q321*K321</x:f>
        <x:v>9000</x:v>
      </x:c>
      <x:c r="S321" s="18" t="n">
        <x:f>Q321-R321</x:f>
        <x:v>36000</x:v>
      </x:c>
      <x:c r="T321" s="18" t="n">
        <x:f>I321*L321</x:f>
        <x:v>26400</x:v>
      </x:c>
      <x:c r="U321" s="18" t="n">
        <x:f>S321-T321</x:f>
        <x:v>9600</x:v>
      </x:c>
    </x:row>
    <x:row r="322">
      <x:c r="A322" s="11" t="str">
        <x:v>V-0021</x:v>
      </x:c>
      <x:c r="B322" s="14" t="n">
        <x:v>46183</x:v>
      </x:c>
      <x:c r="C322" s="11" t="str">
        <x:v>Ibagué</x:v>
      </x:c>
      <x:c r="D322" s="11" t="str">
        <x:v>Web</x:v>
      </x:c>
      <x:c r="E322" s="11" t="str">
        <x:v>Hogar</x:v>
      </x:c>
      <x:c r="F322" s="11" t="str">
        <x:v>Organizador</x:v>
      </x:c>
      <x:c r="G322" s="11" t="str">
        <x:v>C-0047</x:v>
      </x:c>
      <x:c r="H322" s="11" t="str">
        <x:v>Nuevo</x:v>
      </x:c>
      <x:c r="I322" s="11" t="n">
        <x:v>4</x:v>
      </x:c>
      <x:c r="J322" s="18" t="n">
        <x:v>40100</x:v>
      </x:c>
      <x:c r="K322" s="16" t="n">
        <x:v>0.05</x:v>
      </x:c>
      <x:c r="L322" s="18" t="n">
        <x:v>24800</x:v>
      </x:c>
      <x:c r="M322" s="11" t="str">
        <x:v>Billetera digital</x:v>
      </x:c>
      <x:c r="N322" s="11" t="n">
        <x:v>35</x:v>
      </x:c>
      <x:c r="O322" s="11" t="str">
        <x:v>A tiempo</x:v>
      </x:c>
      <x:c r="P322" s="20" t="n">
        <x:v>5</x:v>
      </x:c>
      <x:c r="Q322" s="18" t="n">
        <x:f>I322*J322</x:f>
        <x:v>160400</x:v>
      </x:c>
      <x:c r="R322" s="18" t="n">
        <x:f>Q322*K322</x:f>
        <x:v>8020</x:v>
      </x:c>
      <x:c r="S322" s="18" t="n">
        <x:f>Q322-R322</x:f>
        <x:v>152380</x:v>
      </x:c>
      <x:c r="T322" s="18" t="n">
        <x:f>I322*L322</x:f>
        <x:v>99200</x:v>
      </x:c>
      <x:c r="U322" s="18" t="n">
        <x:f>S322-T322</x:f>
        <x:v>53180</x:v>
      </x:c>
    </x:row>
    <x:row r="323">
      <x:c r="A323" s="11" t="str">
        <x:v>V-0149</x:v>
      </x:c>
      <x:c r="B323" s="14" t="n">
        <x:v>46183</x:v>
      </x:c>
      <x:c r="C323" s="11" t="str">
        <x:v>Bogotá</x:v>
      </x:c>
      <x:c r="D323" s="11" t="str">
        <x:v>Web</x:v>
      </x:c>
      <x:c r="E323" s="11" t="str">
        <x:v>Cuidado personal</x:v>
      </x:c>
      <x:c r="F323" s="11" t="str">
        <x:v>Kit cuidado</x:v>
      </x:c>
      <x:c r="G323" s="11" t="str">
        <x:v>C-0065</x:v>
      </x:c>
      <x:c r="H323" s="11" t="str">
        <x:v>Recurrente</x:v>
      </x:c>
      <x:c r="I323" s="11" t="n">
        <x:v>1</x:v>
      </x:c>
      <x:c r="J323" s="18" t="n">
        <x:v>40500</x:v>
      </x:c>
      <x:c r="K323" s="16" t="n">
        <x:v>0.2</x:v>
      </x:c>
      <x:c r="L323" s="18" t="n">
        <x:v>25800</x:v>
      </x:c>
      <x:c r="M323" s="11" t="str">
        <x:v>Billetera digital</x:v>
      </x:c>
      <x:c r="N323" s="11" t="n">
        <x:v>80</x:v>
      </x:c>
      <x:c r="O323" s="11" t="str">
        <x:v>Tardía</x:v>
      </x:c>
      <x:c r="P323" s="20" t="n">
        <x:v>2</x:v>
      </x:c>
      <x:c r="Q323" s="18" t="n">
        <x:f>I323*J323</x:f>
        <x:v>40500</x:v>
      </x:c>
      <x:c r="R323" s="18" t="n">
        <x:f>Q323*K323</x:f>
        <x:v>8100</x:v>
      </x:c>
      <x:c r="S323" s="18" t="n">
        <x:f>Q323-R323</x:f>
        <x:v>32400</x:v>
      </x:c>
      <x:c r="T323" s="18" t="n">
        <x:f>I323*L323</x:f>
        <x:v>25800</x:v>
      </x:c>
      <x:c r="U323" s="18" t="n">
        <x:f>S323-T323</x:f>
        <x:v>6600</x:v>
      </x:c>
    </x:row>
    <x:row r="324">
      <x:c r="A324" s="11" t="str">
        <x:v>V-0215</x:v>
      </x:c>
      <x:c r="B324" s="14" t="n">
        <x:v>46183</x:v>
      </x:c>
      <x:c r="C324" s="11" t="str">
        <x:v>Neiva</x:v>
      </x:c>
      <x:c r="D324" s="11" t="str">
        <x:v>Tienda</x:v>
      </x:c>
      <x:c r="E324" s="11" t="str">
        <x:v>Alimentos</x:v>
      </x:c>
      <x:c r="F324" s="11" t="str">
        <x:v>Snack saludable</x:v>
      </x:c>
      <x:c r="G324" s="11" t="str">
        <x:v>C-0010</x:v>
      </x:c>
      <x:c r="H324" s="11" t="str">
        <x:v>Recurrente</x:v>
      </x:c>
      <x:c r="I324" s="11" t="n">
        <x:v>4</x:v>
      </x:c>
      <x:c r="J324" s="18" t="n">
        <x:v>9200</x:v>
      </x:c>
      <x:c r="K324" s="16" t="n">
        <x:v>0</x:v>
      </x:c>
      <x:c r="L324" s="18" t="n">
        <x:v>5500</x:v>
      </x:c>
      <x:c r="M324" s="11" t="str">
        <x:v>Efectivo</x:v>
      </x:c>
      <x:c r="N324" s="11" t="n">
        <x:v>0</x:v>
      </x:c>
      <x:c r="O324" s="11" t="str">
        <x:v>No aplica</x:v>
      </x:c>
      <x:c r="P324" s="20" t="n">
        <x:v>5</x:v>
      </x:c>
      <x:c r="Q324" s="18" t="n">
        <x:f>I324*J324</x:f>
        <x:v>36800</x:v>
      </x:c>
      <x:c r="R324" s="18" t="n">
        <x:f>Q324*K324</x:f>
        <x:v>0</x:v>
      </x:c>
      <x:c r="S324" s="18" t="n">
        <x:f>Q324-R324</x:f>
        <x:v>36800</x:v>
      </x:c>
      <x:c r="T324" s="18" t="n">
        <x:f>I324*L324</x:f>
        <x:v>22000</x:v>
      </x:c>
      <x:c r="U324" s="18" t="n">
        <x:f>S324-T324</x:f>
        <x:v>14800</x:v>
      </x:c>
    </x:row>
    <x:row r="325">
      <x:c r="A325" s="11" t="str">
        <x:v>V-0302</x:v>
      </x:c>
      <x:c r="B325" s="14" t="n">
        <x:v>46183</x:v>
      </x:c>
      <x:c r="C325" s="11" t="str">
        <x:v>Medellín</x:v>
      </x:c>
      <x:c r="D325" s="11" t="str">
        <x:v>Tienda</x:v>
      </x:c>
      <x:c r="E325" s="11" t="str">
        <x:v>Bebidas</x:v>
      </x:c>
      <x:c r="F325" s="11" t="str">
        <x:v>Bebida caliente</x:v>
      </x:c>
      <x:c r="G325" s="11" t="str">
        <x:v>C-0016</x:v>
      </x:c>
      <x:c r="H325" s="11" t="str">
        <x:v>Recurrente</x:v>
      </x:c>
      <x:c r="I325" s="11" t="n">
        <x:v>5</x:v>
      </x:c>
      <x:c r="J325" s="18" t="n">
        <x:v>6900</x:v>
      </x:c>
      <x:c r="K325" s="16" t="n">
        <x:v>0.05</x:v>
      </x:c>
      <x:c r="L325" s="18" t="n">
        <x:v>3200</x:v>
      </x:c>
      <x:c r="M325" s="11" t="str">
        <x:v>Tarjeta</x:v>
      </x:c>
      <x:c r="N325" s="11" t="n">
        <x:v>0</x:v>
      </x:c>
      <x:c r="O325" s="11" t="str">
        <x:v>No aplica</x:v>
      </x:c>
      <x:c r="P325" s="20" t="n">
        <x:v>5</x:v>
      </x:c>
      <x:c r="Q325" s="18" t="n">
        <x:f>I325*J325</x:f>
        <x:v>34500</x:v>
      </x:c>
      <x:c r="R325" s="18" t="n">
        <x:f>Q325*K325</x:f>
        <x:v>1725</x:v>
      </x:c>
      <x:c r="S325" s="18" t="n">
        <x:f>Q325-R325</x:f>
        <x:v>32775</x:v>
      </x:c>
      <x:c r="T325" s="18" t="n">
        <x:f>I325*L325</x:f>
        <x:v>16000</x:v>
      </x:c>
      <x:c r="U325" s="18" t="n">
        <x:f>S325-T325</x:f>
        <x:v>16775</x:v>
      </x:c>
    </x:row>
    <x:row r="326">
      <x:c r="A326" s="11" t="str">
        <x:v>V-0129</x:v>
      </x:c>
      <x:c r="B326" s="14" t="n">
        <x:v>46184</x:v>
      </x:c>
      <x:c r="C326" s="11" t="str">
        <x:v>Florencia</x:v>
      </x:c>
      <x:c r="D326" s="11" t="str">
        <x:v>App</x:v>
      </x:c>
      <x:c r="E326" s="11" t="str">
        <x:v>Hogar</x:v>
      </x:c>
      <x:c r="F326" s="11" t="str">
        <x:v>Kit limpieza</x:v>
      </x:c>
      <x:c r="G326" s="11" t="str">
        <x:v>C-0072</x:v>
      </x:c>
      <x:c r="H326" s="11" t="str">
        <x:v>Recurrente</x:v>
      </x:c>
      <x:c r="I326" s="11" t="n">
        <x:v>3</x:v>
      </x:c>
      <x:c r="J326" s="18" t="n">
        <x:v>22200</x:v>
      </x:c>
      <x:c r="K326" s="16" t="n">
        <x:v>0.1</x:v>
      </x:c>
      <x:c r="L326" s="18" t="n">
        <x:v>13500</x:v>
      </x:c>
      <x:c r="M326" s="11" t="str">
        <x:v>Tarjeta</x:v>
      </x:c>
      <x:c r="N326" s="11" t="n">
        <x:v>60</x:v>
      </x:c>
      <x:c r="O326" s="11" t="str">
        <x:v>A tiempo</x:v>
      </x:c>
      <x:c r="P326" s="20" t="n">
        <x:v>5</x:v>
      </x:c>
      <x:c r="Q326" s="18" t="n">
        <x:f>I326*J326</x:f>
        <x:v>66600</x:v>
      </x:c>
      <x:c r="R326" s="18" t="n">
        <x:f>Q326*K326</x:f>
        <x:v>6660</x:v>
      </x:c>
      <x:c r="S326" s="18" t="n">
        <x:f>Q326-R326</x:f>
        <x:v>59940</x:v>
      </x:c>
      <x:c r="T326" s="18" t="n">
        <x:f>I326*L326</x:f>
        <x:v>40500</x:v>
      </x:c>
      <x:c r="U326" s="18" t="n">
        <x:f>S326-T326</x:f>
        <x:v>19440</x:v>
      </x:c>
    </x:row>
    <x:row r="327">
      <x:c r="A327" s="11" t="str">
        <x:v>V-0197</x:v>
      </x:c>
      <x:c r="B327" s="14" t="n">
        <x:v>46185</x:v>
      </x:c>
      <x:c r="C327" s="11" t="str">
        <x:v>Bogotá</x:v>
      </x:c>
      <x:c r="D327" s="11" t="str">
        <x:v>Web</x:v>
      </x:c>
      <x:c r="E327" s="11" t="str">
        <x:v>Hogar</x:v>
      </x:c>
      <x:c r="F327" s="11" t="str">
        <x:v>Kit limpieza</x:v>
      </x:c>
      <x:c r="G327" s="11" t="str">
        <x:v>C-0048</x:v>
      </x:c>
      <x:c r="H327" s="11" t="str">
        <x:v>Recurrente</x:v>
      </x:c>
      <x:c r="I327" s="11" t="n">
        <x:v>1</x:v>
      </x:c>
      <x:c r="J327" s="18" t="n">
        <x:v>25200</x:v>
      </x:c>
      <x:c r="K327" s="16" t="n">
        <x:v>0.1</x:v>
      </x:c>
      <x:c r="L327" s="18" t="n">
        <x:v>15200</x:v>
      </x:c>
      <x:c r="M327" s="11" t="str">
        <x:v>Transferencia</x:v>
      </x:c>
      <x:c r="N327" s="11" t="n">
        <x:v>83</x:v>
      </x:c>
      <x:c r="O327" s="11" t="str">
        <x:v>Tardía</x:v>
      </x:c>
      <x:c r="P327" s="20" t="n">
        <x:v>3</x:v>
      </x:c>
      <x:c r="Q327" s="18" t="n">
        <x:f>I327*J327</x:f>
        <x:v>25200</x:v>
      </x:c>
      <x:c r="R327" s="18" t="n">
        <x:f>Q327*K327</x:f>
        <x:v>2520</x:v>
      </x:c>
      <x:c r="S327" s="18" t="n">
        <x:f>Q327-R327</x:f>
        <x:v>22680</x:v>
      </x:c>
      <x:c r="T327" s="18" t="n">
        <x:f>I327*L327</x:f>
        <x:v>15200</x:v>
      </x:c>
      <x:c r="U327" s="18" t="n">
        <x:f>S327-T327</x:f>
        <x:v>7480</x:v>
      </x:c>
    </x:row>
    <x:row r="328">
      <x:c r="A328" s="11" t="str">
        <x:v>V-0254</x:v>
      </x:c>
      <x:c r="B328" s="14" t="n">
        <x:v>46185</x:v>
      </x:c>
      <x:c r="C328" s="11" t="str">
        <x:v>Florencia</x:v>
      </x:c>
      <x:c r="D328" s="11" t="str">
        <x:v>Web</x:v>
      </x:c>
      <x:c r="E328" s="11" t="str">
        <x:v>Alimentos</x:v>
      </x:c>
      <x:c r="F328" s="11" t="str">
        <x:v>Producto gourmet</x:v>
      </x:c>
      <x:c r="G328" s="11" t="str">
        <x:v>C-0103</x:v>
      </x:c>
      <x:c r="H328" s="11" t="str">
        <x:v>Nuevo</x:v>
      </x:c>
      <x:c r="I328" s="11" t="n">
        <x:v>2</x:v>
      </x:c>
      <x:c r="J328" s="18" t="n">
        <x:v>34500</x:v>
      </x:c>
      <x:c r="K328" s="16" t="n">
        <x:v>0.1</x:v>
      </x:c>
      <x:c r="L328" s="18" t="n">
        <x:v>23200</x:v>
      </x:c>
      <x:c r="M328" s="11" t="str">
        <x:v>Billetera digital</x:v>
      </x:c>
      <x:c r="N328" s="11" t="n">
        <x:v>52</x:v>
      </x:c>
      <x:c r="O328" s="11" t="str">
        <x:v>A tiempo</x:v>
      </x:c>
      <x:c r="P328" s="20" t="n">
        <x:v>5</x:v>
      </x:c>
      <x:c r="Q328" s="18" t="n">
        <x:f>I328*J328</x:f>
        <x:v>69000</x:v>
      </x:c>
      <x:c r="R328" s="18" t="n">
        <x:f>Q328*K328</x:f>
        <x:v>6900</x:v>
      </x:c>
      <x:c r="S328" s="18" t="n">
        <x:f>Q328-R328</x:f>
        <x:v>62100</x:v>
      </x:c>
      <x:c r="T328" s="18" t="n">
        <x:f>I328*L328</x:f>
        <x:v>46400</x:v>
      </x:c>
      <x:c r="U328" s="18" t="n">
        <x:f>S328-T328</x:f>
        <x:v>15700</x:v>
      </x:c>
    </x:row>
    <x:row r="329">
      <x:c r="A329" s="11" t="str">
        <x:v>V-0290</x:v>
      </x:c>
      <x:c r="B329" s="14" t="n">
        <x:v>46185</x:v>
      </x:c>
      <x:c r="C329" s="11" t="str">
        <x:v>Florencia</x:v>
      </x:c>
      <x:c r="D329" s="11" t="str">
        <x:v>Tienda</x:v>
      </x:c>
      <x:c r="E329" s="11" t="str">
        <x:v>Bebidas</x:v>
      </x:c>
      <x:c r="F329" s="11" t="str">
        <x:v>Bebida caliente</x:v>
      </x:c>
      <x:c r="G329" s="11" t="str">
        <x:v>C-0036</x:v>
      </x:c>
      <x:c r="H329" s="11" t="str">
        <x:v>Recurrente</x:v>
      </x:c>
      <x:c r="I329" s="11" t="n">
        <x:v>1</x:v>
      </x:c>
      <x:c r="J329" s="18" t="n">
        <x:v>6300</x:v>
      </x:c>
      <x:c r="K329" s="16" t="n">
        <x:v>0.2</x:v>
      </x:c>
      <x:c r="L329" s="18" t="n">
        <x:v>3100</x:v>
      </x:c>
      <x:c r="M329" s="11" t="str">
        <x:v>Transferencia</x:v>
      </x:c>
      <x:c r="N329" s="11" t="n">
        <x:v>0</x:v>
      </x:c>
      <x:c r="O329" s="11" t="str">
        <x:v>No aplica</x:v>
      </x:c>
      <x:c r="P329" s="20" t="n">
        <x:v>4</x:v>
      </x:c>
      <x:c r="Q329" s="18" t="n">
        <x:f>I329*J329</x:f>
        <x:v>6300</x:v>
      </x:c>
      <x:c r="R329" s="18" t="n">
        <x:f>Q329*K329</x:f>
        <x:v>1260</x:v>
      </x:c>
      <x:c r="S329" s="18" t="n">
        <x:f>Q329-R329</x:f>
        <x:v>5040</x:v>
      </x:c>
      <x:c r="T329" s="18" t="n">
        <x:f>I329*L329</x:f>
        <x:v>3100</x:v>
      </x:c>
      <x:c r="U329" s="18" t="n">
        <x:f>S329-T329</x:f>
        <x:v>1940</x:v>
      </x:c>
    </x:row>
    <x:row r="330">
      <x:c r="A330" s="11" t="str">
        <x:v>V-0444</x:v>
      </x:c>
      <x:c r="B330" s="14" t="n">
        <x:v>46185</x:v>
      </x:c>
      <x:c r="C330" s="11" t="str">
        <x:v>Cali</x:v>
      </x:c>
      <x:c r="D330" s="11" t="str">
        <x:v>Tienda</x:v>
      </x:c>
      <x:c r="E330" s="11" t="str">
        <x:v>Cuidado personal</x:v>
      </x:c>
      <x:c r="F330" s="11" t="str">
        <x:v>Accesorio personal</x:v>
      </x:c>
      <x:c r="G330" s="11" t="str">
        <x:v>C-0084</x:v>
      </x:c>
      <x:c r="H330" s="11" t="str">
        <x:v>Recurrente</x:v>
      </x:c>
      <x:c r="I330" s="11" t="n">
        <x:v>2</x:v>
      </x:c>
      <x:c r="J330" s="18" t="n">
        <x:v>18800</x:v>
      </x:c>
      <x:c r="K330" s="16" t="n">
        <x:v>0.15</x:v>
      </x:c>
      <x:c r="L330" s="18" t="n">
        <x:v>10300</x:v>
      </x:c>
      <x:c r="M330" s="11" t="str">
        <x:v>Efectivo</x:v>
      </x:c>
      <x:c r="N330" s="11" t="n">
        <x:v>0</x:v>
      </x:c>
      <x:c r="O330" s="11" t="str">
        <x:v>No aplica</x:v>
      </x:c>
      <x:c r="P330" s="20" t="n">
        <x:v>4</x:v>
      </x:c>
      <x:c r="Q330" s="18" t="n">
        <x:f>I330*J330</x:f>
        <x:v>37600</x:v>
      </x:c>
      <x:c r="R330" s="18" t="n">
        <x:f>Q330*K330</x:f>
        <x:v>5640</x:v>
      </x:c>
      <x:c r="S330" s="18" t="n">
        <x:f>Q330-R330</x:f>
        <x:v>31960</x:v>
      </x:c>
      <x:c r="T330" s="18" t="n">
        <x:f>I330*L330</x:f>
        <x:v>20600</x:v>
      </x:c>
      <x:c r="U330" s="18" t="n">
        <x:f>S330-T330</x:f>
        <x:v>11360</x:v>
      </x:c>
    </x:row>
    <x:row r="331">
      <x:c r="A331" s="11" t="str">
        <x:v>V-0004</x:v>
      </x:c>
      <x:c r="B331" s="14" t="n">
        <x:v>46186</x:v>
      </x:c>
      <x:c r="C331" s="11" t="str">
        <x:v>Medellín</x:v>
      </x:c>
      <x:c r="D331" s="11" t="str">
        <x:v>App</x:v>
      </x:c>
      <x:c r="E331" s="11" t="str">
        <x:v>Alimentos</x:v>
      </x:c>
      <x:c r="F331" s="11" t="str">
        <x:v>Producto gourmet</x:v>
      </x:c>
      <x:c r="G331" s="11" t="str">
        <x:v>C-0120</x:v>
      </x:c>
      <x:c r="H331" s="11" t="str">
        <x:v>Recurrente</x:v>
      </x:c>
      <x:c r="I331" s="11" t="n">
        <x:v>3</x:v>
      </x:c>
      <x:c r="J331" s="18" t="n">
        <x:v>29300</x:v>
      </x:c>
      <x:c r="K331" s="16" t="n">
        <x:v>0.1</x:v>
      </x:c>
      <x:c r="L331" s="18" t="n">
        <x:v>17900</x:v>
      </x:c>
      <x:c r="M331" s="11" t="str">
        <x:v>Billetera digital</x:v>
      </x:c>
      <x:c r="N331" s="11" t="n">
        <x:v>95</x:v>
      </x:c>
      <x:c r="O331" s="11" t="str">
        <x:v>Tardía</x:v>
      </x:c>
      <x:c r="P331" s="20" t="n">
        <x:v>5</x:v>
      </x:c>
      <x:c r="Q331" s="18" t="n">
        <x:f>I331*J331</x:f>
        <x:v>87900</x:v>
      </x:c>
      <x:c r="R331" s="18" t="n">
        <x:f>Q331*K331</x:f>
        <x:v>8790</x:v>
      </x:c>
      <x:c r="S331" s="18" t="n">
        <x:f>Q331-R331</x:f>
        <x:v>79110</x:v>
      </x:c>
      <x:c r="T331" s="18" t="n">
        <x:f>I331*L331</x:f>
        <x:v>53700</x:v>
      </x:c>
      <x:c r="U331" s="18" t="n">
        <x:f>S331-T331</x:f>
        <x:v>25410</x:v>
      </x:c>
    </x:row>
    <x:row r="332">
      <x:c r="A332" s="11" t="str">
        <x:v>V-0013</x:v>
      </x:c>
      <x:c r="B332" s="14" t="n">
        <x:v>46186</x:v>
      </x:c>
      <x:c r="C332" s="11" t="str">
        <x:v>Neiva</x:v>
      </x:c>
      <x:c r="D332" s="11" t="str">
        <x:v>Tienda</x:v>
      </x:c>
      <x:c r="E332" s="11" t="str">
        <x:v>Cuidado personal</x:v>
      </x:c>
      <x:c r="F332" s="11" t="str">
        <x:v>Producto bienestar</x:v>
      </x:c>
      <x:c r="G332" s="11" t="str">
        <x:v>C-0071</x:v>
      </x:c>
      <x:c r="H332" s="11" t="str">
        <x:v>Nuevo</x:v>
      </x:c>
      <x:c r="I332" s="11" t="n">
        <x:v>1</x:v>
      </x:c>
      <x:c r="J332" s="18" t="n">
        <x:v>32600</x:v>
      </x:c>
      <x:c r="K332" s="16" t="n">
        <x:v>0</x:v>
      </x:c>
      <x:c r="L332" s="18" t="n">
        <x:v>19200</x:v>
      </x:c>
      <x:c r="M332" s="11" t="str">
        <x:v>Transferencia</x:v>
      </x:c>
      <x:c r="N332" s="11" t="n">
        <x:v>0</x:v>
      </x:c>
      <x:c r="O332" s="11" t="str">
        <x:v>No aplica</x:v>
      </x:c>
      <x:c r="P332" s="20" t="n">
        <x:v>4</x:v>
      </x:c>
      <x:c r="Q332" s="18" t="n">
        <x:f>I332*J332</x:f>
        <x:v>32600</x:v>
      </x:c>
      <x:c r="R332" s="18" t="n">
        <x:f>Q332*K332</x:f>
        <x:v>0</x:v>
      </x:c>
      <x:c r="S332" s="18" t="n">
        <x:f>Q332-R332</x:f>
        <x:v>32600</x:v>
      </x:c>
      <x:c r="T332" s="18" t="n">
        <x:f>I332*L332</x:f>
        <x:v>19200</x:v>
      </x:c>
      <x:c r="U332" s="18" t="n">
        <x:f>S332-T332</x:f>
        <x:v>13400</x:v>
      </x:c>
    </x:row>
    <x:row r="333">
      <x:c r="A333" s="11" t="str">
        <x:v>V-0094</x:v>
      </x:c>
      <x:c r="B333" s="14" t="n">
        <x:v>46186</x:v>
      </x:c>
      <x:c r="C333" s="11" t="str">
        <x:v>Cali</x:v>
      </x:c>
      <x:c r="D333" s="11" t="str">
        <x:v>Tienda</x:v>
      </x:c>
      <x:c r="E333" s="11" t="str">
        <x:v>Alimentos</x:v>
      </x:c>
      <x:c r="F333" s="11" t="str">
        <x:v>Producto gourmet</x:v>
      </x:c>
      <x:c r="G333" s="11" t="str">
        <x:v>C-0055</x:v>
      </x:c>
      <x:c r="H333" s="11" t="str">
        <x:v>Nuevo</x:v>
      </x:c>
      <x:c r="I333" s="11" t="n">
        <x:v>1</x:v>
      </x:c>
      <x:c r="J333" s="18" t="n">
        <x:v>32400</x:v>
      </x:c>
      <x:c r="K333" s="16" t="n">
        <x:v>0.15</x:v>
      </x:c>
      <x:c r="L333" s="18" t="n">
        <x:v>21100</x:v>
      </x:c>
      <x:c r="M333" s="11" t="str">
        <x:v>Transferencia</x:v>
      </x:c>
      <x:c r="N333" s="11" t="n">
        <x:v>0</x:v>
      </x:c>
      <x:c r="O333" s="11" t="str">
        <x:v>No aplica</x:v>
      </x:c>
      <x:c r="P333" s="20" t="n">
        <x:v>4</x:v>
      </x:c>
      <x:c r="Q333" s="18" t="n">
        <x:f>I333*J333</x:f>
        <x:v>32400</x:v>
      </x:c>
      <x:c r="R333" s="18" t="n">
        <x:f>Q333*K333</x:f>
        <x:v>4860</x:v>
      </x:c>
      <x:c r="S333" s="18" t="n">
        <x:f>Q333-R333</x:f>
        <x:v>27540</x:v>
      </x:c>
      <x:c r="T333" s="18" t="n">
        <x:f>I333*L333</x:f>
        <x:v>21100</x:v>
      </x:c>
      <x:c r="U333" s="18" t="n">
        <x:f>S333-T333</x:f>
        <x:v>6440</x:v>
      </x:c>
    </x:row>
    <x:row r="334">
      <x:c r="A334" s="11" t="str">
        <x:v>V-0347</x:v>
      </x:c>
      <x:c r="B334" s="14" t="n">
        <x:v>46186</x:v>
      </x:c>
      <x:c r="C334" s="11" t="str">
        <x:v>Neiva</x:v>
      </x:c>
      <x:c r="D334" s="11" t="str">
        <x:v>Tienda</x:v>
      </x:c>
      <x:c r="E334" s="11" t="str">
        <x:v>Hogar</x:v>
      </x:c>
      <x:c r="F334" s="11" t="str">
        <x:v>Accesorio hogar</x:v>
      </x:c>
      <x:c r="G334" s="11" t="str">
        <x:v>C-0100</x:v>
      </x:c>
      <x:c r="H334" s="11" t="str">
        <x:v>Recurrente</x:v>
      </x:c>
      <x:c r="I334" s="11" t="n">
        <x:v>1</x:v>
      </x:c>
      <x:c r="J334" s="18" t="n">
        <x:v>29300</x:v>
      </x:c>
      <x:c r="K334" s="16" t="n">
        <x:v>0</x:v>
      </x:c>
      <x:c r="L334" s="18" t="n">
        <x:v>19400</x:v>
      </x:c>
      <x:c r="M334" s="11" t="str">
        <x:v>Billetera digital</x:v>
      </x:c>
      <x:c r="N334" s="11" t="n">
        <x:v>0</x:v>
      </x:c>
      <x:c r="O334" s="11" t="str">
        <x:v>No aplica</x:v>
      </x:c>
      <x:c r="P334" s="20" t="n">
        <x:v>5</x:v>
      </x:c>
      <x:c r="Q334" s="18" t="n">
        <x:f>I334*J334</x:f>
        <x:v>29300</x:v>
      </x:c>
      <x:c r="R334" s="18" t="n">
        <x:f>Q334*K334</x:f>
        <x:v>0</x:v>
      </x:c>
      <x:c r="S334" s="18" t="n">
        <x:f>Q334-R334</x:f>
        <x:v>29300</x:v>
      </x:c>
      <x:c r="T334" s="18" t="n">
        <x:f>I334*L334</x:f>
        <x:v>19400</x:v>
      </x:c>
      <x:c r="U334" s="18" t="n">
        <x:f>S334-T334</x:f>
        <x:v>9900</x:v>
      </x:c>
    </x:row>
    <x:row r="335">
      <x:c r="A335" s="11" t="str">
        <x:v>V-0293</x:v>
      </x:c>
      <x:c r="B335" s="14" t="n">
        <x:v>46187</x:v>
      </x:c>
      <x:c r="C335" s="11" t="str">
        <x:v>Bogotá</x:v>
      </x:c>
      <x:c r="D335" s="11" t="str">
        <x:v>App</x:v>
      </x:c>
      <x:c r="E335" s="11" t="str">
        <x:v>Cuidado personal</x:v>
      </x:c>
      <x:c r="F335" s="11" t="str">
        <x:v>Accesorio personal</x:v>
      </x:c>
      <x:c r="G335" s="11" t="str">
        <x:v>C-0102</x:v>
      </x:c>
      <x:c r="H335" s="11" t="str">
        <x:v>Recurrente</x:v>
      </x:c>
      <x:c r="I335" s="11" t="n">
        <x:v>2</x:v>
      </x:c>
      <x:c r="J335" s="18" t="n">
        <x:v>17200</x:v>
      </x:c>
      <x:c r="K335" s="16" t="n">
        <x:v>0</x:v>
      </x:c>
      <x:c r="L335" s="18" t="n">
        <x:v>9600</x:v>
      </x:c>
      <x:c r="M335" s="11" t="str">
        <x:v>Tarjeta</x:v>
      </x:c>
      <x:c r="N335" s="11" t="n">
        <x:v>82</x:v>
      </x:c>
      <x:c r="O335" s="11" t="str">
        <x:v>Tardía</x:v>
      </x:c>
      <x:c r="P335" s="20" t="n">
        <x:v>5</x:v>
      </x:c>
      <x:c r="Q335" s="18" t="n">
        <x:f>I335*J335</x:f>
        <x:v>34400</x:v>
      </x:c>
      <x:c r="R335" s="18" t="n">
        <x:f>Q335*K335</x:f>
        <x:v>0</x:v>
      </x:c>
      <x:c r="S335" s="18" t="n">
        <x:f>Q335-R335</x:f>
        <x:v>34400</x:v>
      </x:c>
      <x:c r="T335" s="18" t="n">
        <x:f>I335*L335</x:f>
        <x:v>19200</x:v>
      </x:c>
      <x:c r="U335" s="18" t="n">
        <x:f>S335-T335</x:f>
        <x:v>15200</x:v>
      </x:c>
    </x:row>
    <x:row r="336">
      <x:c r="A336" s="11" t="str">
        <x:v>V-0209</x:v>
      </x:c>
      <x:c r="B336" s="14" t="n">
        <x:v>46188</x:v>
      </x:c>
      <x:c r="C336" s="11" t="str">
        <x:v>Medellín</x:v>
      </x:c>
      <x:c r="D336" s="11" t="str">
        <x:v>App</x:v>
      </x:c>
      <x:c r="E336" s="11" t="str">
        <x:v>Cuidado personal</x:v>
      </x:c>
      <x:c r="F336" s="11" t="str">
        <x:v>Producto bienestar</x:v>
      </x:c>
      <x:c r="G336" s="11" t="str">
        <x:v>C-0099</x:v>
      </x:c>
      <x:c r="H336" s="11" t="str">
        <x:v>Recurrente</x:v>
      </x:c>
      <x:c r="I336" s="11" t="n">
        <x:v>3</x:v>
      </x:c>
      <x:c r="J336" s="18" t="n">
        <x:v>34900</x:v>
      </x:c>
      <x:c r="K336" s="16" t="n">
        <x:v>0.2</x:v>
      </x:c>
      <x:c r="L336" s="18" t="n">
        <x:v>19900</x:v>
      </x:c>
      <x:c r="M336" s="11" t="str">
        <x:v>Transferencia</x:v>
      </x:c>
      <x:c r="N336" s="11" t="n">
        <x:v>80</x:v>
      </x:c>
      <x:c r="O336" s="11" t="str">
        <x:v>Tardía</x:v>
      </x:c>
      <x:c r="P336" s="20" t="n">
        <x:v>4</x:v>
      </x:c>
      <x:c r="Q336" s="18" t="n">
        <x:f>I336*J336</x:f>
        <x:v>104700</x:v>
      </x:c>
      <x:c r="R336" s="18" t="n">
        <x:f>Q336*K336</x:f>
        <x:v>20940</x:v>
      </x:c>
      <x:c r="S336" s="18" t="n">
        <x:f>Q336-R336</x:f>
        <x:v>83760</x:v>
      </x:c>
      <x:c r="T336" s="18" t="n">
        <x:f>I336*L336</x:f>
        <x:v>59700</x:v>
      </x:c>
      <x:c r="U336" s="18" t="n">
        <x:f>S336-T336</x:f>
        <x:v>24060</x:v>
      </x:c>
    </x:row>
    <x:row r="337">
      <x:c r="A337" s="11" t="str">
        <x:v>V-0237</x:v>
      </x:c>
      <x:c r="B337" s="14" t="n">
        <x:v>46188</x:v>
      </x:c>
      <x:c r="C337" s="11" t="str">
        <x:v>Ibagué</x:v>
      </x:c>
      <x:c r="D337" s="11" t="str">
        <x:v>App</x:v>
      </x:c>
      <x:c r="E337" s="11" t="str">
        <x:v>Hogar</x:v>
      </x:c>
      <x:c r="F337" s="11" t="str">
        <x:v>Kit limpieza</x:v>
      </x:c>
      <x:c r="G337" s="11" t="str">
        <x:v>C-0049</x:v>
      </x:c>
      <x:c r="H337" s="11" t="str">
        <x:v>Recurrente</x:v>
      </x:c>
      <x:c r="I337" s="11" t="n">
        <x:v>1</x:v>
      </x:c>
      <x:c r="J337" s="18" t="n">
        <x:v>22300</x:v>
      </x:c>
      <x:c r="K337" s="16" t="n">
        <x:v>0</x:v>
      </x:c>
      <x:c r="L337" s="18" t="n">
        <x:v>12800</x:v>
      </x:c>
      <x:c r="M337" s="11" t="str">
        <x:v>Billetera digital</x:v>
      </x:c>
      <x:c r="N337" s="11" t="n">
        <x:v>52</x:v>
      </x:c>
      <x:c r="O337" s="11" t="str">
        <x:v>A tiempo</x:v>
      </x:c>
      <x:c r="P337" s="20" t="n">
        <x:v>4</x:v>
      </x:c>
      <x:c r="Q337" s="18" t="n">
        <x:f>I337*J337</x:f>
        <x:v>22300</x:v>
      </x:c>
      <x:c r="R337" s="18" t="n">
        <x:f>Q337*K337</x:f>
        <x:v>0</x:v>
      </x:c>
      <x:c r="S337" s="18" t="n">
        <x:f>Q337-R337</x:f>
        <x:v>22300</x:v>
      </x:c>
      <x:c r="T337" s="18" t="n">
        <x:f>I337*L337</x:f>
        <x:v>12800</x:v>
      </x:c>
      <x:c r="U337" s="18" t="n">
        <x:f>S337-T337</x:f>
        <x:v>9500</x:v>
      </x:c>
    </x:row>
    <x:row r="338">
      <x:c r="A338" s="11" t="str">
        <x:v>V-0192</x:v>
      </x:c>
      <x:c r="B338" s="14" t="n">
        <x:v>46189</x:v>
      </x:c>
      <x:c r="C338" s="11" t="str">
        <x:v>Neiva</x:v>
      </x:c>
      <x:c r="D338" s="11" t="str">
        <x:v>Web</x:v>
      </x:c>
      <x:c r="E338" s="11" t="str">
        <x:v>Cuidado personal</x:v>
      </x:c>
      <x:c r="F338" s="11" t="str">
        <x:v>Accesorio personal</x:v>
      </x:c>
      <x:c r="G338" s="11" t="str">
        <x:v>C-0047</x:v>
      </x:c>
      <x:c r="H338" s="11" t="str">
        <x:v>Recurrente</x:v>
      </x:c>
      <x:c r="I338" s="11" t="n">
        <x:v>1</x:v>
      </x:c>
      <x:c r="J338" s="18" t="n">
        <x:v>17600</x:v>
      </x:c>
      <x:c r="K338" s="16" t="n">
        <x:v>0.15</x:v>
      </x:c>
      <x:c r="L338" s="18" t="n">
        <x:v>10000</x:v>
      </x:c>
      <x:c r="M338" s="11" t="str">
        <x:v>Tarjeta</x:v>
      </x:c>
      <x:c r="N338" s="11" t="n">
        <x:v>53</x:v>
      </x:c>
      <x:c r="O338" s="11" t="str">
        <x:v>A tiempo</x:v>
      </x:c>
      <x:c r="P338" s="20" t="n">
        <x:v>5</x:v>
      </x:c>
      <x:c r="Q338" s="18" t="n">
        <x:f>I338*J338</x:f>
        <x:v>17600</x:v>
      </x:c>
      <x:c r="R338" s="18" t="n">
        <x:f>Q338*K338</x:f>
        <x:v>2640</x:v>
      </x:c>
      <x:c r="S338" s="18" t="n">
        <x:f>Q338-R338</x:f>
        <x:v>14960</x:v>
      </x:c>
      <x:c r="T338" s="18" t="n">
        <x:f>I338*L338</x:f>
        <x:v>10000</x:v>
      </x:c>
      <x:c r="U338" s="18" t="n">
        <x:f>S338-T338</x:f>
        <x:v>4960</x:v>
      </x:c>
    </x:row>
    <x:row r="339">
      <x:c r="A339" s="11" t="str">
        <x:v>V-0130</x:v>
      </x:c>
      <x:c r="B339" s="14" t="n">
        <x:v>46190</x:v>
      </x:c>
      <x:c r="C339" s="11" t="str">
        <x:v>Neiva</x:v>
      </x:c>
      <x:c r="D339" s="11" t="str">
        <x:v>Web</x:v>
      </x:c>
      <x:c r="E339" s="11" t="str">
        <x:v>Alimentos</x:v>
      </x:c>
      <x:c r="F339" s="11" t="str">
        <x:v>Combo almuerzo</x:v>
      </x:c>
      <x:c r="G339" s="11" t="str">
        <x:v>C-0107</x:v>
      </x:c>
      <x:c r="H339" s="11" t="str">
        <x:v>Recurrente</x:v>
      </x:c>
      <x:c r="I339" s="11" t="n">
        <x:v>3</x:v>
      </x:c>
      <x:c r="J339" s="18" t="n">
        <x:v>23400</x:v>
      </x:c>
      <x:c r="K339" s="16" t="n">
        <x:v>0</x:v>
      </x:c>
      <x:c r="L339" s="18" t="n">
        <x:v>14100</x:v>
      </x:c>
      <x:c r="M339" s="11" t="str">
        <x:v>Billetera digital</x:v>
      </x:c>
      <x:c r="N339" s="11" t="n">
        <x:v>38</x:v>
      </x:c>
      <x:c r="O339" s="11" t="str">
        <x:v>A tiempo</x:v>
      </x:c>
      <x:c r="P339" s="20" t="n">
        <x:v>5</x:v>
      </x:c>
      <x:c r="Q339" s="18" t="n">
        <x:f>I339*J339</x:f>
        <x:v>70200</x:v>
      </x:c>
      <x:c r="R339" s="18" t="n">
        <x:f>Q339*K339</x:f>
        <x:v>0</x:v>
      </x:c>
      <x:c r="S339" s="18" t="n">
        <x:f>Q339-R339</x:f>
        <x:v>70200</x:v>
      </x:c>
      <x:c r="T339" s="18" t="n">
        <x:f>I339*L339</x:f>
        <x:v>42300</x:v>
      </x:c>
      <x:c r="U339" s="18" t="n">
        <x:f>S339-T339</x:f>
        <x:v>27900</x:v>
      </x:c>
    </x:row>
    <x:row r="340">
      <x:c r="A340" s="11" t="str">
        <x:v>V-0319</x:v>
      </x:c>
      <x:c r="B340" s="14" t="n">
        <x:v>46190</x:v>
      </x:c>
      <x:c r="C340" s="11" t="str">
        <x:v>Neiva</x:v>
      </x:c>
      <x:c r="D340" s="11" t="str">
        <x:v>Tienda</x:v>
      </x:c>
      <x:c r="E340" s="11" t="str">
        <x:v>Hogar</x:v>
      </x:c>
      <x:c r="F340" s="11" t="str">
        <x:v>Accesorio hogar</x:v>
      </x:c>
      <x:c r="G340" s="11" t="str">
        <x:v>C-0074</x:v>
      </x:c>
      <x:c r="H340" s="11" t="str">
        <x:v>Recurrente</x:v>
      </x:c>
      <x:c r="I340" s="11" t="n">
        <x:v>6</x:v>
      </x:c>
      <x:c r="J340" s="18" t="n">
        <x:v>26100</x:v>
      </x:c>
      <x:c r="K340" s="16" t="n">
        <x:v>0.1</x:v>
      </x:c>
      <x:c r="L340" s="18" t="n">
        <x:v>15800</x:v>
      </x:c>
      <x:c r="M340" s="11" t="str">
        <x:v>Efectivo</x:v>
      </x:c>
      <x:c r="N340" s="11" t="n">
        <x:v>0</x:v>
      </x:c>
      <x:c r="O340" s="11" t="str">
        <x:v>No aplica</x:v>
      </x:c>
      <x:c r="P340" s="20" t="n">
        <x:v>4</x:v>
      </x:c>
      <x:c r="Q340" s="18" t="n">
        <x:f>I340*J340</x:f>
        <x:v>156600</x:v>
      </x:c>
      <x:c r="R340" s="18" t="n">
        <x:f>Q340*K340</x:f>
        <x:v>15660</x:v>
      </x:c>
      <x:c r="S340" s="18" t="n">
        <x:f>Q340-R340</x:f>
        <x:v>140940</x:v>
      </x:c>
      <x:c r="T340" s="18" t="n">
        <x:f>I340*L340</x:f>
        <x:v>94800</x:v>
      </x:c>
      <x:c r="U340" s="18" t="n">
        <x:f>S340-T340</x:f>
        <x:v>46140</x:v>
      </x:c>
    </x:row>
    <x:row r="341">
      <x:c r="A341" s="11" t="str">
        <x:v>V-0375</x:v>
      </x:c>
      <x:c r="B341" s="14" t="n">
        <x:v>46190</x:v>
      </x:c>
      <x:c r="C341" s="11" t="str">
        <x:v>Florencia</x:v>
      </x:c>
      <x:c r="D341" s="11" t="str">
        <x:v>Web</x:v>
      </x:c>
      <x:c r="E341" s="11" t="str">
        <x:v>Alimentos</x:v>
      </x:c>
      <x:c r="F341" s="11" t="str">
        <x:v>Snack saludable</x:v>
      </x:c>
      <x:c r="G341" s="11" t="str">
        <x:v>C-0056</x:v>
      </x:c>
      <x:c r="H341" s="11" t="str">
        <x:v>Recurrente</x:v>
      </x:c>
      <x:c r="I341" s="11" t="n">
        <x:v>4</x:v>
      </x:c>
      <x:c r="J341" s="18" t="n">
        <x:v>9100</x:v>
      </x:c>
      <x:c r="K341" s="16" t="n">
        <x:v>0</x:v>
      </x:c>
      <x:c r="L341" s="18" t="n">
        <x:v>5200</x:v>
      </x:c>
      <x:c r="M341" s="11" t="str">
        <x:v>Tarjeta</x:v>
      </x:c>
      <x:c r="N341" s="11" t="n">
        <x:v>109</x:v>
      </x:c>
      <x:c r="O341" s="11" t="str">
        <x:v>Tardía</x:v>
      </x:c>
      <x:c r="P341" s="20" t="n">
        <x:v>3</x:v>
      </x:c>
      <x:c r="Q341" s="18" t="n">
        <x:f>I341*J341</x:f>
        <x:v>36400</x:v>
      </x:c>
      <x:c r="R341" s="18" t="n">
        <x:f>Q341*K341</x:f>
        <x:v>0</x:v>
      </x:c>
      <x:c r="S341" s="18" t="n">
        <x:f>Q341-R341</x:f>
        <x:v>36400</x:v>
      </x:c>
      <x:c r="T341" s="18" t="n">
        <x:f>I341*L341</x:f>
        <x:v>20800</x:v>
      </x:c>
      <x:c r="U341" s="18" t="n">
        <x:f>S341-T341</x:f>
        <x:v>15600</x:v>
      </x:c>
    </x:row>
    <x:row r="342">
      <x:c r="A342" s="11" t="str">
        <x:v>V-0386</x:v>
      </x:c>
      <x:c r="B342" s="14" t="n">
        <x:v>46190</x:v>
      </x:c>
      <x:c r="C342" s="11" t="str">
        <x:v>Medellín</x:v>
      </x:c>
      <x:c r="D342" s="11" t="str">
        <x:v>Web</x:v>
      </x:c>
      <x:c r="E342" s="11" t="str">
        <x:v>Hogar</x:v>
      </x:c>
      <x:c r="F342" s="11" t="str">
        <x:v>Kit limpieza</x:v>
      </x:c>
      <x:c r="G342" s="11" t="str">
        <x:v>C-0011</x:v>
      </x:c>
      <x:c r="H342" s="11" t="str">
        <x:v>Recurrente</x:v>
      </x:c>
      <x:c r="I342" s="11" t="n">
        <x:v>1</x:v>
      </x:c>
      <x:c r="J342" s="18" t="n">
        <x:v>25900</x:v>
      </x:c>
      <x:c r="K342" s="16" t="n">
        <x:v>0</x:v>
      </x:c>
      <x:c r="L342" s="18" t="n">
        <x:v>15700</x:v>
      </x:c>
      <x:c r="M342" s="11" t="str">
        <x:v>Billetera digital</x:v>
      </x:c>
      <x:c r="N342" s="11" t="n">
        <x:v>50</x:v>
      </x:c>
      <x:c r="O342" s="11" t="str">
        <x:v>A tiempo</x:v>
      </x:c>
      <x:c r="P342" s="20" t="n">
        <x:v>4</x:v>
      </x:c>
      <x:c r="Q342" s="18" t="n">
        <x:f>I342*J342</x:f>
        <x:v>25900</x:v>
      </x:c>
      <x:c r="R342" s="18" t="n">
        <x:f>Q342*K342</x:f>
        <x:v>0</x:v>
      </x:c>
      <x:c r="S342" s="18" t="n">
        <x:f>Q342-R342</x:f>
        <x:v>25900</x:v>
      </x:c>
      <x:c r="T342" s="18" t="n">
        <x:f>I342*L342</x:f>
        <x:v>15700</x:v>
      </x:c>
      <x:c r="U342" s="18" t="n">
        <x:f>S342-T342</x:f>
        <x:v>10200</x:v>
      </x:c>
    </x:row>
    <x:row r="343">
      <x:c r="A343" s="11" t="str">
        <x:v>V-0173</x:v>
      </x:c>
      <x:c r="B343" s="14" t="n">
        <x:v>46191</x:v>
      </x:c>
      <x:c r="C343" s="11" t="str">
        <x:v>Florencia</x:v>
      </x:c>
      <x:c r="D343" s="11" t="str">
        <x:v>App</x:v>
      </x:c>
      <x:c r="E343" s="11" t="str">
        <x:v>Alimentos</x:v>
      </x:c>
      <x:c r="F343" s="11" t="str">
        <x:v>Snack saludable</x:v>
      </x:c>
      <x:c r="G343" s="11" t="str">
        <x:v>C-0100</x:v>
      </x:c>
      <x:c r="H343" s="11" t="str">
        <x:v>Recurrente</x:v>
      </x:c>
      <x:c r="I343" s="11" t="n">
        <x:v>2</x:v>
      </x:c>
      <x:c r="J343" s="18" t="n">
        <x:v>8100</x:v>
      </x:c>
      <x:c r="K343" s="16" t="n">
        <x:v>0.2</x:v>
      </x:c>
      <x:c r="L343" s="18" t="n">
        <x:v>4900</x:v>
      </x:c>
      <x:c r="M343" s="11" t="str">
        <x:v>Tarjeta</x:v>
      </x:c>
      <x:c r="N343" s="11" t="n">
        <x:v>69</x:v>
      </x:c>
      <x:c r="O343" s="11" t="str">
        <x:v>A tiempo</x:v>
      </x:c>
      <x:c r="P343" s="20" t="n">
        <x:v>3</x:v>
      </x:c>
      <x:c r="Q343" s="18" t="n">
        <x:f>I343*J343</x:f>
        <x:v>16200</x:v>
      </x:c>
      <x:c r="R343" s="18" t="n">
        <x:f>Q343*K343</x:f>
        <x:v>3240</x:v>
      </x:c>
      <x:c r="S343" s="18" t="n">
        <x:f>Q343-R343</x:f>
        <x:v>12960</x:v>
      </x:c>
      <x:c r="T343" s="18" t="n">
        <x:f>I343*L343</x:f>
        <x:v>9800</x:v>
      </x:c>
      <x:c r="U343" s="18" t="n">
        <x:f>S343-T343</x:f>
        <x:v>3160</x:v>
      </x:c>
    </x:row>
    <x:row r="344">
      <x:c r="A344" s="11" t="str">
        <x:v>V-0102</x:v>
      </x:c>
      <x:c r="B344" s="14" t="n">
        <x:v>46192</x:v>
      </x:c>
      <x:c r="C344" s="11" t="str">
        <x:v>Cali</x:v>
      </x:c>
      <x:c r="D344" s="11" t="str">
        <x:v>App</x:v>
      </x:c>
      <x:c r="E344" s="11" t="str">
        <x:v>Bebidas</x:v>
      </x:c>
      <x:c r="F344" s="11" t="str">
        <x:v>Bebida premium</x:v>
      </x:c>
      <x:c r="G344" s="11" t="str">
        <x:v>C-0046</x:v>
      </x:c>
      <x:c r="H344" s="11" t="str">
        <x:v>Recurrente</x:v>
      </x:c>
      <x:c r="I344" s="11" t="n">
        <x:v>1</x:v>
      </x:c>
      <x:c r="J344" s="18" t="n">
        <x:v>14800</x:v>
      </x:c>
      <x:c r="K344" s="16" t="n">
        <x:v>0.05</x:v>
      </x:c>
      <x:c r="L344" s="18" t="n">
        <x:v>8700</x:v>
      </x:c>
      <x:c r="M344" s="11" t="str">
        <x:v>Billetera digital</x:v>
      </x:c>
      <x:c r="N344" s="11" t="n">
        <x:v>68</x:v>
      </x:c>
      <x:c r="O344" s="11" t="str">
        <x:v>Tardía</x:v>
      </x:c>
      <x:c r="P344" s="20" t="n">
        <x:v>4</x:v>
      </x:c>
      <x:c r="Q344" s="18" t="n">
        <x:f>I344*J344</x:f>
        <x:v>14800</x:v>
      </x:c>
      <x:c r="R344" s="18" t="n">
        <x:f>Q344*K344</x:f>
        <x:v>740</x:v>
      </x:c>
      <x:c r="S344" s="18" t="n">
        <x:f>Q344-R344</x:f>
        <x:v>14060</x:v>
      </x:c>
      <x:c r="T344" s="18" t="n">
        <x:f>I344*L344</x:f>
        <x:v>8700</x:v>
      </x:c>
      <x:c r="U344" s="18" t="n">
        <x:f>S344-T344</x:f>
        <x:v>5360</x:v>
      </x:c>
    </x:row>
    <x:row r="345">
      <x:c r="A345" s="11" t="str">
        <x:v>V-0359</x:v>
      </x:c>
      <x:c r="B345" s="14" t="n">
        <x:v>46192</x:v>
      </x:c>
      <x:c r="C345" s="11" t="str">
        <x:v>Ibagué</x:v>
      </x:c>
      <x:c r="D345" s="11" t="str">
        <x:v>Tienda</x:v>
      </x:c>
      <x:c r="E345" s="11" t="str">
        <x:v>Hogar</x:v>
      </x:c>
      <x:c r="F345" s="11" t="str">
        <x:v>Accesorio hogar</x:v>
      </x:c>
      <x:c r="G345" s="11" t="str">
        <x:v>C-0003</x:v>
      </x:c>
      <x:c r="H345" s="11" t="str">
        <x:v>Recurrente</x:v>
      </x:c>
      <x:c r="I345" s="11" t="n">
        <x:v>1</x:v>
      </x:c>
      <x:c r="J345" s="18" t="n">
        <x:v>25400</x:v>
      </x:c>
      <x:c r="K345" s="16" t="n">
        <x:v>0</x:v>
      </x:c>
      <x:c r="L345" s="18" t="n">
        <x:v>16300</x:v>
      </x:c>
      <x:c r="M345" s="11" t="str">
        <x:v>Efectivo</x:v>
      </x:c>
      <x:c r="N345" s="11" t="n">
        <x:v>0</x:v>
      </x:c>
      <x:c r="O345" s="11" t="str">
        <x:v>No aplica</x:v>
      </x:c>
      <x:c r="P345" s="20" t="n">
        <x:v>4</x:v>
      </x:c>
      <x:c r="Q345" s="18" t="n">
        <x:f>I345*J345</x:f>
        <x:v>25400</x:v>
      </x:c>
      <x:c r="R345" s="18" t="n">
        <x:f>Q345*K345</x:f>
        <x:v>0</x:v>
      </x:c>
      <x:c r="S345" s="18" t="n">
        <x:f>Q345-R345</x:f>
        <x:v>25400</x:v>
      </x:c>
      <x:c r="T345" s="18" t="n">
        <x:f>I345*L345</x:f>
        <x:v>16300</x:v>
      </x:c>
      <x:c r="U345" s="18" t="n">
        <x:f>S345-T345</x:f>
        <x:v>9100</x:v>
      </x:c>
    </x:row>
    <x:row r="346">
      <x:c r="A346" s="11" t="str">
        <x:v>V-0171</x:v>
      </x:c>
      <x:c r="B346" s="14" t="n">
        <x:v>46193</x:v>
      </x:c>
      <x:c r="C346" s="11" t="str">
        <x:v>Medellín</x:v>
      </x:c>
      <x:c r="D346" s="11" t="str">
        <x:v>App</x:v>
      </x:c>
      <x:c r="E346" s="11" t="str">
        <x:v>Bebidas</x:v>
      </x:c>
      <x:c r="F346" s="11" t="str">
        <x:v>Bebida fría</x:v>
      </x:c>
      <x:c r="G346" s="11" t="str">
        <x:v>C-0043</x:v>
      </x:c>
      <x:c r="H346" s="11" t="str">
        <x:v>Recurrente</x:v>
      </x:c>
      <x:c r="I346" s="11" t="n">
        <x:v>4</x:v>
      </x:c>
      <x:c r="J346" s="18" t="n">
        <x:v>6800</x:v>
      </x:c>
      <x:c r="K346" s="16" t="n">
        <x:v>0</x:v>
      </x:c>
      <x:c r="L346" s="18" t="n">
        <x:v>3500</x:v>
      </x:c>
      <x:c r="M346" s="11" t="str">
        <x:v>Tarjeta</x:v>
      </x:c>
      <x:c r="N346" s="11" t="n">
        <x:v>53</x:v>
      </x:c>
      <x:c r="O346" s="11" t="str">
        <x:v>A tiempo</x:v>
      </x:c>
      <x:c r="P346" s="20" t="n">
        <x:v>4</x:v>
      </x:c>
      <x:c r="Q346" s="18" t="n">
        <x:f>I346*J346</x:f>
        <x:v>27200</x:v>
      </x:c>
      <x:c r="R346" s="18" t="n">
        <x:f>Q346*K346</x:f>
        <x:v>0</x:v>
      </x:c>
      <x:c r="S346" s="18" t="n">
        <x:f>Q346-R346</x:f>
        <x:v>27200</x:v>
      </x:c>
      <x:c r="T346" s="18" t="n">
        <x:f>I346*L346</x:f>
        <x:v>14000</x:v>
      </x:c>
      <x:c r="U346" s="18" t="n">
        <x:f>S346-T346</x:f>
        <x:v>13200</x:v>
      </x:c>
    </x:row>
    <x:row r="347">
      <x:c r="A347" s="11" t="str">
        <x:v>V-0208</x:v>
      </x:c>
      <x:c r="B347" s="14" t="n">
        <x:v>46196</x:v>
      </x:c>
      <x:c r="C347" s="11" t="str">
        <x:v>Neiva</x:v>
      </x:c>
      <x:c r="D347" s="11" t="str">
        <x:v>Web</x:v>
      </x:c>
      <x:c r="E347" s="11" t="str">
        <x:v>Cuidado personal</x:v>
      </x:c>
      <x:c r="F347" s="11" t="str">
        <x:v>Kit cuidado</x:v>
      </x:c>
      <x:c r="G347" s="11" t="str">
        <x:v>C-0088</x:v>
      </x:c>
      <x:c r="H347" s="11" t="str">
        <x:v>Recurrente</x:v>
      </x:c>
      <x:c r="I347" s="11" t="n">
        <x:v>2</x:v>
      </x:c>
      <x:c r="J347" s="18" t="n">
        <x:v>41600</x:v>
      </x:c>
      <x:c r="K347" s="16" t="n">
        <x:v>0.05</x:v>
      </x:c>
      <x:c r="L347" s="18" t="n">
        <x:v>26000</x:v>
      </x:c>
      <x:c r="M347" s="11" t="str">
        <x:v>Transferencia</x:v>
      </x:c>
      <x:c r="N347" s="11" t="n">
        <x:v>50</x:v>
      </x:c>
      <x:c r="O347" s="11" t="str">
        <x:v>A tiempo</x:v>
      </x:c>
      <x:c r="P347" s="20" t="n">
        <x:v>4</x:v>
      </x:c>
      <x:c r="Q347" s="18" t="n">
        <x:f>I347*J347</x:f>
        <x:v>83200</x:v>
      </x:c>
      <x:c r="R347" s="18" t="n">
        <x:f>Q347*K347</x:f>
        <x:v>4160</x:v>
      </x:c>
      <x:c r="S347" s="18" t="n">
        <x:f>Q347-R347</x:f>
        <x:v>79040</x:v>
      </x:c>
      <x:c r="T347" s="18" t="n">
        <x:f>I347*L347</x:f>
        <x:v>52000</x:v>
      </x:c>
      <x:c r="U347" s="18" t="n">
        <x:f>S347-T347</x:f>
        <x:v>27040</x:v>
      </x:c>
    </x:row>
    <x:row r="348">
      <x:c r="A348" s="11" t="str">
        <x:v>V-0252</x:v>
      </x:c>
      <x:c r="B348" s="14" t="n">
        <x:v>46196</x:v>
      </x:c>
      <x:c r="C348" s="11" t="str">
        <x:v>Bogotá</x:v>
      </x:c>
      <x:c r="D348" s="11" t="str">
        <x:v>Web</x:v>
      </x:c>
      <x:c r="E348" s="11" t="str">
        <x:v>Bebidas</x:v>
      </x:c>
      <x:c r="F348" s="11" t="str">
        <x:v>Bebida caliente</x:v>
      </x:c>
      <x:c r="G348" s="11" t="str">
        <x:v>C-0089</x:v>
      </x:c>
      <x:c r="H348" s="11" t="str">
        <x:v>Recurrente</x:v>
      </x:c>
      <x:c r="I348" s="11" t="n">
        <x:v>1</x:v>
      </x:c>
      <x:c r="J348" s="18" t="n">
        <x:v>7000</x:v>
      </x:c>
      <x:c r="K348" s="16" t="n">
        <x:v>0.15</x:v>
      </x:c>
      <x:c r="L348" s="18" t="n">
        <x:v>3400</x:v>
      </x:c>
      <x:c r="M348" s="11" t="str">
        <x:v>Tarjeta</x:v>
      </x:c>
      <x:c r="N348" s="11" t="n">
        <x:v>59</x:v>
      </x:c>
      <x:c r="O348" s="11" t="str">
        <x:v>A tiempo</x:v>
      </x:c>
      <x:c r="P348" s="20" t="n">
        <x:v>4</x:v>
      </x:c>
      <x:c r="Q348" s="18" t="n">
        <x:f>I348*J348</x:f>
        <x:v>7000</x:v>
      </x:c>
      <x:c r="R348" s="18" t="n">
        <x:f>Q348*K348</x:f>
        <x:v>1050</x:v>
      </x:c>
      <x:c r="S348" s="18" t="n">
        <x:f>Q348-R348</x:f>
        <x:v>5950</x:v>
      </x:c>
      <x:c r="T348" s="18" t="n">
        <x:f>I348*L348</x:f>
        <x:v>3400</x:v>
      </x:c>
      <x:c r="U348" s="18" t="n">
        <x:f>S348-T348</x:f>
        <x:v>2550</x:v>
      </x:c>
    </x:row>
    <x:row r="349">
      <x:c r="A349" s="11" t="str">
        <x:v>V-0121</x:v>
      </x:c>
      <x:c r="B349" s="14" t="n">
        <x:v>46197</x:v>
      </x:c>
      <x:c r="C349" s="11" t="str">
        <x:v>Neiva</x:v>
      </x:c>
      <x:c r="D349" s="11" t="str">
        <x:v>App</x:v>
      </x:c>
      <x:c r="E349" s="11" t="str">
        <x:v>Cuidado personal</x:v>
      </x:c>
      <x:c r="F349" s="11" t="str">
        <x:v>Accesorio personal</x:v>
      </x:c>
      <x:c r="G349" s="11" t="str">
        <x:v>C-0046</x:v>
      </x:c>
      <x:c r="H349" s="11" t="str">
        <x:v>Recurrente</x:v>
      </x:c>
      <x:c r="I349" s="11" t="n">
        <x:v>4</x:v>
      </x:c>
      <x:c r="J349" s="18" t="n">
        <x:v>16800</x:v>
      </x:c>
      <x:c r="K349" s="16" t="n">
        <x:v>0.1</x:v>
      </x:c>
      <x:c r="L349" s="18" t="n">
        <x:v>9000</x:v>
      </x:c>
      <x:c r="M349" s="11" t="str">
        <x:v>Efectivo</x:v>
      </x:c>
      <x:c r="N349" s="11" t="n">
        <x:v>34</x:v>
      </x:c>
      <x:c r="O349" s="11" t="str">
        <x:v>A tiempo</x:v>
      </x:c>
      <x:c r="P349" s="20" t="n">
        <x:v>5</x:v>
      </x:c>
      <x:c r="Q349" s="18" t="n">
        <x:f>I349*J349</x:f>
        <x:v>67200</x:v>
      </x:c>
      <x:c r="R349" s="18" t="n">
        <x:f>Q349*K349</x:f>
        <x:v>6720</x:v>
      </x:c>
      <x:c r="S349" s="18" t="n">
        <x:f>Q349-R349</x:f>
        <x:v>60480</x:v>
      </x:c>
      <x:c r="T349" s="18" t="n">
        <x:f>I349*L349</x:f>
        <x:v>36000</x:v>
      </x:c>
      <x:c r="U349" s="18" t="n">
        <x:f>S349-T349</x:f>
        <x:v>24480</x:v>
      </x:c>
    </x:row>
    <x:row r="350">
      <x:c r="A350" s="11" t="str">
        <x:v>V-0054</x:v>
      </x:c>
      <x:c r="B350" s="14" t="n">
        <x:v>46198</x:v>
      </x:c>
      <x:c r="C350" s="11" t="str">
        <x:v>Florencia</x:v>
      </x:c>
      <x:c r="D350" s="11" t="str">
        <x:v>Tienda</x:v>
      </x:c>
      <x:c r="E350" s="11" t="str">
        <x:v>Bebidas</x:v>
      </x:c>
      <x:c r="F350" s="11" t="str">
        <x:v>Bebida premium</x:v>
      </x:c>
      <x:c r="G350" s="11" t="str">
        <x:v>C-0009</x:v>
      </x:c>
      <x:c r="H350" s="11" t="str">
        <x:v>Nuevo</x:v>
      </x:c>
      <x:c r="I350" s="11" t="n">
        <x:v>1</x:v>
      </x:c>
      <x:c r="J350" s="18" t="n">
        <x:v>15700</x:v>
      </x:c>
      <x:c r="K350" s="16" t="n">
        <x:v>0.1</x:v>
      </x:c>
      <x:c r="L350" s="18" t="n">
        <x:v>8900</x:v>
      </x:c>
      <x:c r="M350" s="11" t="str">
        <x:v>Billetera digital</x:v>
      </x:c>
      <x:c r="N350" s="11" t="n">
        <x:v>0</x:v>
      </x:c>
      <x:c r="O350" s="11" t="str">
        <x:v>No aplica</x:v>
      </x:c>
      <x:c r="P350" s="20" t="n">
        <x:v>5</x:v>
      </x:c>
      <x:c r="Q350" s="18" t="n">
        <x:f>I350*J350</x:f>
        <x:v>15700</x:v>
      </x:c>
      <x:c r="R350" s="18" t="n">
        <x:f>Q350*K350</x:f>
        <x:v>1570</x:v>
      </x:c>
      <x:c r="S350" s="18" t="n">
        <x:f>Q350-R350</x:f>
        <x:v>14130</x:v>
      </x:c>
      <x:c r="T350" s="18" t="n">
        <x:f>I350*L350</x:f>
        <x:v>8900</x:v>
      </x:c>
      <x:c r="U350" s="18" t="n">
        <x:f>S350-T350</x:f>
        <x:v>5230</x:v>
      </x:c>
    </x:row>
    <x:row r="351">
      <x:c r="A351" s="11" t="str">
        <x:v>V-0205</x:v>
      </x:c>
      <x:c r="B351" s="14" t="n">
        <x:v>46199</x:v>
      </x:c>
      <x:c r="C351" s="11" t="str">
        <x:v>Bogotá</x:v>
      </x:c>
      <x:c r="D351" s="11" t="str">
        <x:v>App</x:v>
      </x:c>
      <x:c r="E351" s="11" t="str">
        <x:v>Hogar</x:v>
      </x:c>
      <x:c r="F351" s="11" t="str">
        <x:v>Organizador</x:v>
      </x:c>
      <x:c r="G351" s="11" t="str">
        <x:v>C-0107</x:v>
      </x:c>
      <x:c r="H351" s="11" t="str">
        <x:v>Recurrente</x:v>
      </x:c>
      <x:c r="I351" s="11" t="n">
        <x:v>1</x:v>
      </x:c>
      <x:c r="J351" s="18" t="n">
        <x:v>39500</x:v>
      </x:c>
      <x:c r="K351" s="16" t="n">
        <x:v>0.05</x:v>
      </x:c>
      <x:c r="L351" s="18" t="n">
        <x:v>24400</x:v>
      </x:c>
      <x:c r="M351" s="11" t="str">
        <x:v>Billetera digital</x:v>
      </x:c>
      <x:c r="N351" s="11" t="n">
        <x:v>38</x:v>
      </x:c>
      <x:c r="O351" s="11" t="str">
        <x:v>A tiempo</x:v>
      </x:c>
      <x:c r="P351" s="20" t="n">
        <x:v>5</x:v>
      </x:c>
      <x:c r="Q351" s="18" t="n">
        <x:f>I351*J351</x:f>
        <x:v>39500</x:v>
      </x:c>
      <x:c r="R351" s="18" t="n">
        <x:f>Q351*K351</x:f>
        <x:v>1975</x:v>
      </x:c>
      <x:c r="S351" s="18" t="n">
        <x:f>Q351-R351</x:f>
        <x:v>37525</x:v>
      </x:c>
      <x:c r="T351" s="18" t="n">
        <x:f>I351*L351</x:f>
        <x:v>24400</x:v>
      </x:c>
      <x:c r="U351" s="18" t="n">
        <x:f>S351-T351</x:f>
        <x:v>13125</x:v>
      </x:c>
    </x:row>
    <x:row r="352">
      <x:c r="A352" s="11" t="str">
        <x:v>V-0196</x:v>
      </x:c>
      <x:c r="B352" s="14" t="n">
        <x:v>46200</x:v>
      </x:c>
      <x:c r="C352" s="11" t="str">
        <x:v>Ibagué</x:v>
      </x:c>
      <x:c r="D352" s="11" t="str">
        <x:v>Web</x:v>
      </x:c>
      <x:c r="E352" s="11" t="str">
        <x:v>Cuidado personal</x:v>
      </x:c>
      <x:c r="F352" s="11" t="str">
        <x:v>Kit cuidado</x:v>
      </x:c>
      <x:c r="G352" s="11" t="str">
        <x:v>C-0024</x:v>
      </x:c>
      <x:c r="H352" s="11" t="str">
        <x:v>Recurrente</x:v>
      </x:c>
      <x:c r="I352" s="11" t="n">
        <x:v>1</x:v>
      </x:c>
      <x:c r="J352" s="18" t="n">
        <x:v>42500</x:v>
      </x:c>
      <x:c r="K352" s="16" t="n">
        <x:v>0</x:v>
      </x:c>
      <x:c r="L352" s="18" t="n">
        <x:v>26400</x:v>
      </x:c>
      <x:c r="M352" s="11" t="str">
        <x:v>Transferencia</x:v>
      </x:c>
      <x:c r="N352" s="11" t="n">
        <x:v>42</x:v>
      </x:c>
      <x:c r="O352" s="11" t="str">
        <x:v>A tiempo</x:v>
      </x:c>
      <x:c r="P352" s="20" t="n">
        <x:v>5</x:v>
      </x:c>
      <x:c r="Q352" s="18" t="n">
        <x:f>I352*J352</x:f>
        <x:v>42500</x:v>
      </x:c>
      <x:c r="R352" s="18" t="n">
        <x:f>Q352*K352</x:f>
        <x:v>0</x:v>
      </x:c>
      <x:c r="S352" s="18" t="n">
        <x:f>Q352-R352</x:f>
        <x:v>42500</x:v>
      </x:c>
      <x:c r="T352" s="18" t="n">
        <x:f>I352*L352</x:f>
        <x:v>26400</x:v>
      </x:c>
      <x:c r="U352" s="18" t="n">
        <x:f>S352-T352</x:f>
        <x:v>16100</x:v>
      </x:c>
    </x:row>
    <x:row r="353">
      <x:c r="A353" s="11" t="str">
        <x:v>V-0225</x:v>
      </x:c>
      <x:c r="B353" s="14" t="n">
        <x:v>46200</x:v>
      </x:c>
      <x:c r="C353" s="11" t="str">
        <x:v>Bogotá</x:v>
      </x:c>
      <x:c r="D353" s="11" t="str">
        <x:v>Tienda</x:v>
      </x:c>
      <x:c r="E353" s="11" t="str">
        <x:v>Cuidado personal</x:v>
      </x:c>
      <x:c r="F353" s="11" t="str">
        <x:v>Accesorio personal</x:v>
      </x:c>
      <x:c r="G353" s="11" t="str">
        <x:v>C-0047</x:v>
      </x:c>
      <x:c r="H353" s="11" t="str">
        <x:v>Recurrente</x:v>
      </x:c>
      <x:c r="I353" s="11" t="n">
        <x:v>5</x:v>
      </x:c>
      <x:c r="J353" s="18" t="n">
        <x:v>18500</x:v>
      </x:c>
      <x:c r="K353" s="16" t="n">
        <x:v>0.2</x:v>
      </x:c>
      <x:c r="L353" s="18" t="n">
        <x:v>10900</x:v>
      </x:c>
      <x:c r="M353" s="11" t="str">
        <x:v>Billetera digital</x:v>
      </x:c>
      <x:c r="N353" s="11" t="n">
        <x:v>0</x:v>
      </x:c>
      <x:c r="O353" s="11" t="str">
        <x:v>No aplica</x:v>
      </x:c>
      <x:c r="P353" s="20" t="n">
        <x:v>5</x:v>
      </x:c>
      <x:c r="Q353" s="18" t="n">
        <x:f>I353*J353</x:f>
        <x:v>92500</x:v>
      </x:c>
      <x:c r="R353" s="18" t="n">
        <x:f>Q353*K353</x:f>
        <x:v>18500</x:v>
      </x:c>
      <x:c r="S353" s="18" t="n">
        <x:f>Q353-R353</x:f>
        <x:v>74000</x:v>
      </x:c>
      <x:c r="T353" s="18" t="n">
        <x:f>I353*L353</x:f>
        <x:v>54500</x:v>
      </x:c>
      <x:c r="U353" s="18" t="n">
        <x:f>S353-T353</x:f>
        <x:v>19500</x:v>
      </x:c>
    </x:row>
    <x:row r="354">
      <x:c r="A354" s="11" t="str">
        <x:v>V-0078</x:v>
      </x:c>
      <x:c r="B354" s="14" t="n">
        <x:v>46201</x:v>
      </x:c>
      <x:c r="C354" s="11" t="str">
        <x:v>Neiva</x:v>
      </x:c>
      <x:c r="D354" s="11" t="str">
        <x:v>Web</x:v>
      </x:c>
      <x:c r="E354" s="11" t="str">
        <x:v>Bebidas</x:v>
      </x:c>
      <x:c r="F354" s="11" t="str">
        <x:v>Bebida caliente</x:v>
      </x:c>
      <x:c r="G354" s="11" t="str">
        <x:v>C-0025</x:v>
      </x:c>
      <x:c r="H354" s="11" t="str">
        <x:v>Recurrente</x:v>
      </x:c>
      <x:c r="I354" s="11" t="n">
        <x:v>2</x:v>
      </x:c>
      <x:c r="J354" s="18" t="n">
        <x:v>6600</x:v>
      </x:c>
      <x:c r="K354" s="16" t="n">
        <x:v>0</x:v>
      </x:c>
      <x:c r="L354" s="18" t="n">
        <x:v>3200</x:v>
      </x:c>
      <x:c r="M354" s="11" t="str">
        <x:v>Tarjeta</x:v>
      </x:c>
      <x:c r="N354" s="11" t="n">
        <x:v>36</x:v>
      </x:c>
      <x:c r="O354" s="11" t="str">
        <x:v>A tiempo</x:v>
      </x:c>
      <x:c r="P354" s="20" t="n">
        <x:v>5</x:v>
      </x:c>
      <x:c r="Q354" s="18" t="n">
        <x:f>I354*J354</x:f>
        <x:v>13200</x:v>
      </x:c>
      <x:c r="R354" s="18" t="n">
        <x:f>Q354*K354</x:f>
        <x:v>0</x:v>
      </x:c>
      <x:c r="S354" s="18" t="n">
        <x:f>Q354-R354</x:f>
        <x:v>13200</x:v>
      </x:c>
      <x:c r="T354" s="18" t="n">
        <x:f>I354*L354</x:f>
        <x:v>6400</x:v>
      </x:c>
      <x:c r="U354" s="18" t="n">
        <x:f>S354-T354</x:f>
        <x:v>6800</x:v>
      </x:c>
    </x:row>
    <x:row r="355">
      <x:c r="A355" s="11" t="str">
        <x:v>V-0274</x:v>
      </x:c>
      <x:c r="B355" s="14" t="n">
        <x:v>46201</x:v>
      </x:c>
      <x:c r="C355" s="11" t="str">
        <x:v>Neiva</x:v>
      </x:c>
      <x:c r="D355" s="11" t="str">
        <x:v>App</x:v>
      </x:c>
      <x:c r="E355" s="11" t="str">
        <x:v>Cuidado personal</x:v>
      </x:c>
      <x:c r="F355" s="11" t="str">
        <x:v>Accesorio personal</x:v>
      </x:c>
      <x:c r="G355" s="11" t="str">
        <x:v>C-0019</x:v>
      </x:c>
      <x:c r="H355" s="11" t="str">
        <x:v>Recurrente</x:v>
      </x:c>
      <x:c r="I355" s="11" t="n">
        <x:v>2</x:v>
      </x:c>
      <x:c r="J355" s="18" t="n">
        <x:v>19700</x:v>
      </x:c>
      <x:c r="K355" s="16" t="n">
        <x:v>0.1</x:v>
      </x:c>
      <x:c r="L355" s="18" t="n">
        <x:v>11300</x:v>
      </x:c>
      <x:c r="M355" s="11" t="str">
        <x:v>Efectivo</x:v>
      </x:c>
      <x:c r="N355" s="11" t="n">
        <x:v>25</x:v>
      </x:c>
      <x:c r="O355" s="11" t="str">
        <x:v>A tiempo</x:v>
      </x:c>
      <x:c r="P355" s="20" t="n">
        <x:v>4</x:v>
      </x:c>
      <x:c r="Q355" s="18" t="n">
        <x:f>I355*J355</x:f>
        <x:v>39400</x:v>
      </x:c>
      <x:c r="R355" s="18" t="n">
        <x:f>Q355*K355</x:f>
        <x:v>3940</x:v>
      </x:c>
      <x:c r="S355" s="18" t="n">
        <x:f>Q355-R355</x:f>
        <x:v>35460</x:v>
      </x:c>
      <x:c r="T355" s="18" t="n">
        <x:f>I355*L355</x:f>
        <x:v>22600</x:v>
      </x:c>
      <x:c r="U355" s="18" t="n">
        <x:f>S355-T355</x:f>
        <x:v>12860</x:v>
      </x:c>
    </x:row>
    <x:row r="356">
      <x:c r="A356" s="11" t="str">
        <x:v>V-0170</x:v>
      </x:c>
      <x:c r="B356" s="14" t="n">
        <x:v>46202</x:v>
      </x:c>
      <x:c r="C356" s="11" t="str">
        <x:v>Bogotá</x:v>
      </x:c>
      <x:c r="D356" s="11" t="str">
        <x:v>App</x:v>
      </x:c>
      <x:c r="E356" s="11" t="str">
        <x:v>Bebidas</x:v>
      </x:c>
      <x:c r="F356" s="11" t="str">
        <x:v>Bebida fría</x:v>
      </x:c>
      <x:c r="G356" s="11" t="str">
        <x:v>C-0050</x:v>
      </x:c>
      <x:c r="H356" s="11" t="str">
        <x:v>Nuevo</x:v>
      </x:c>
      <x:c r="I356" s="11" t="n">
        <x:v>4</x:v>
      </x:c>
      <x:c r="J356" s="18" t="n">
        <x:v>6400</x:v>
      </x:c>
      <x:c r="K356" s="16" t="n">
        <x:v>0.1</x:v>
      </x:c>
      <x:c r="L356" s="18" t="n">
        <x:v>3500</x:v>
      </x:c>
      <x:c r="M356" s="11" t="str">
        <x:v>Tarjeta</x:v>
      </x:c>
      <x:c r="N356" s="11" t="n">
        <x:v>53</x:v>
      </x:c>
      <x:c r="O356" s="11" t="str">
        <x:v>A tiempo</x:v>
      </x:c>
      <x:c r="P356" s="20" t="n">
        <x:v>3</x:v>
      </x:c>
      <x:c r="Q356" s="18" t="n">
        <x:f>I356*J356</x:f>
        <x:v>25600</x:v>
      </x:c>
      <x:c r="R356" s="18" t="n">
        <x:f>Q356*K356</x:f>
        <x:v>2560</x:v>
      </x:c>
      <x:c r="S356" s="18" t="n">
        <x:f>Q356-R356</x:f>
        <x:v>23040</x:v>
      </x:c>
      <x:c r="T356" s="18" t="n">
        <x:f>I356*L356</x:f>
        <x:v>14000</x:v>
      </x:c>
      <x:c r="U356" s="18" t="n">
        <x:f>S356-T356</x:f>
        <x:v>9040</x:v>
      </x:c>
    </x:row>
    <x:row r="357">
      <x:c r="A357" s="11" t="str">
        <x:v>V-0395</x:v>
      </x:c>
      <x:c r="B357" s="14" t="n">
        <x:v>46202</x:v>
      </x:c>
      <x:c r="C357" s="11" t="str">
        <x:v>Cali</x:v>
      </x:c>
      <x:c r="D357" s="11" t="str">
        <x:v>Web</x:v>
      </x:c>
      <x:c r="E357" s="11" t="str">
        <x:v>Alimentos</x:v>
      </x:c>
      <x:c r="F357" s="11" t="str">
        <x:v>Snack saludable</x:v>
      </x:c>
      <x:c r="G357" s="11" t="str">
        <x:v>C-0032</x:v>
      </x:c>
      <x:c r="H357" s="11" t="str">
        <x:v>Recurrente</x:v>
      </x:c>
      <x:c r="I357" s="11" t="n">
        <x:v>3</x:v>
      </x:c>
      <x:c r="J357" s="18" t="n">
        <x:v>8200</x:v>
      </x:c>
      <x:c r="K357" s="16" t="n">
        <x:v>0</x:v>
      </x:c>
      <x:c r="L357" s="18" t="n">
        <x:v>4800</x:v>
      </x:c>
      <x:c r="M357" s="11" t="str">
        <x:v>Billetera digital</x:v>
      </x:c>
      <x:c r="N357" s="11" t="n">
        <x:v>64</x:v>
      </x:c>
      <x:c r="O357" s="11" t="str">
        <x:v>Tardía</x:v>
      </x:c>
      <x:c r="P357" s="20" t="n">
        <x:v>5</x:v>
      </x:c>
      <x:c r="Q357" s="18" t="n">
        <x:f>I357*J357</x:f>
        <x:v>24600</x:v>
      </x:c>
      <x:c r="R357" s="18" t="n">
        <x:f>Q357*K357</x:f>
        <x:v>0</x:v>
      </x:c>
      <x:c r="S357" s="18" t="n">
        <x:f>Q357-R357</x:f>
        <x:v>24600</x:v>
      </x:c>
      <x:c r="T357" s="18" t="n">
        <x:f>I357*L357</x:f>
        <x:v>14400</x:v>
      </x:c>
      <x:c r="U357" s="18" t="n">
        <x:f>S357-T357</x:f>
        <x:v>10200</x:v>
      </x:c>
    </x:row>
    <x:row r="358">
      <x:c r="A358" s="11" t="str">
        <x:v>V-0450</x:v>
      </x:c>
      <x:c r="B358" s="14" t="n">
        <x:v>46204</x:v>
      </x:c>
      <x:c r="C358" s="11" t="str">
        <x:v>Neiva</x:v>
      </x:c>
      <x:c r="D358" s="11" t="str">
        <x:v>Tienda</x:v>
      </x:c>
      <x:c r="E358" s="11" t="str">
        <x:v>Cuidado personal</x:v>
      </x:c>
      <x:c r="F358" s="11" t="str">
        <x:v>Producto bienestar</x:v>
      </x:c>
      <x:c r="G358" s="11" t="str">
        <x:v>C-0059</x:v>
      </x:c>
      <x:c r="H358" s="11" t="str">
        <x:v>Recurrente</x:v>
      </x:c>
      <x:c r="I358" s="11" t="n">
        <x:v>4</x:v>
      </x:c>
      <x:c r="J358" s="18" t="n">
        <x:v>36300</x:v>
      </x:c>
      <x:c r="K358" s="16" t="n">
        <x:v>0.2</x:v>
      </x:c>
      <x:c r="L358" s="18" t="n">
        <x:v>21800</x:v>
      </x:c>
      <x:c r="M358" s="11" t="str">
        <x:v>Transferencia</x:v>
      </x:c>
      <x:c r="N358" s="11" t="n">
        <x:v>0</x:v>
      </x:c>
      <x:c r="O358" s="11" t="str">
        <x:v>No aplica</x:v>
      </x:c>
      <x:c r="P358" s="20" t="n">
        <x:v>3</x:v>
      </x:c>
      <x:c r="Q358" s="18" t="n">
        <x:f>I358*J358</x:f>
        <x:v>145200</x:v>
      </x:c>
      <x:c r="R358" s="18" t="n">
        <x:f>Q358*K358</x:f>
        <x:v>29040</x:v>
      </x:c>
      <x:c r="S358" s="18" t="n">
        <x:f>Q358-R358</x:f>
        <x:v>116160</x:v>
      </x:c>
      <x:c r="T358" s="18" t="n">
        <x:f>I358*L358</x:f>
        <x:v>87200</x:v>
      </x:c>
      <x:c r="U358" s="18" t="n">
        <x:f>S358-T358</x:f>
        <x:v>28960</x:v>
      </x:c>
    </x:row>
    <x:row r="359">
      <x:c r="A359" s="11" t="str">
        <x:v>V-0116</x:v>
      </x:c>
      <x:c r="B359" s="14" t="n">
        <x:v>46205</x:v>
      </x:c>
      <x:c r="C359" s="11" t="str">
        <x:v>Bogotá</x:v>
      </x:c>
      <x:c r="D359" s="11" t="str">
        <x:v>Tienda</x:v>
      </x:c>
      <x:c r="E359" s="11" t="str">
        <x:v>Hogar</x:v>
      </x:c>
      <x:c r="F359" s="11" t="str">
        <x:v>Organizador</x:v>
      </x:c>
      <x:c r="G359" s="11" t="str">
        <x:v>C-0102</x:v>
      </x:c>
      <x:c r="H359" s="11" t="str">
        <x:v>Recurrente</x:v>
      </x:c>
      <x:c r="I359" s="11" t="n">
        <x:v>1</x:v>
      </x:c>
      <x:c r="J359" s="18" t="n">
        <x:v>35900</x:v>
      </x:c>
      <x:c r="K359" s="16" t="n">
        <x:v>0.15</x:v>
      </x:c>
      <x:c r="L359" s="18" t="n">
        <x:v>22400</x:v>
      </x:c>
      <x:c r="M359" s="11" t="str">
        <x:v>Efectivo</x:v>
      </x:c>
      <x:c r="N359" s="11" t="n">
        <x:v>0</x:v>
      </x:c>
      <x:c r="O359" s="11" t="str">
        <x:v>No aplica</x:v>
      </x:c>
      <x:c r="P359" s="20" t="n">
        <x:v>5</x:v>
      </x:c>
      <x:c r="Q359" s="18" t="n">
        <x:f>I359*J359</x:f>
        <x:v>35900</x:v>
      </x:c>
      <x:c r="R359" s="18" t="n">
        <x:f>Q359*K359</x:f>
        <x:v>5385</x:v>
      </x:c>
      <x:c r="S359" s="18" t="n">
        <x:f>Q359-R359</x:f>
        <x:v>30515</x:v>
      </x:c>
      <x:c r="T359" s="18" t="n">
        <x:f>I359*L359</x:f>
        <x:v>22400</x:v>
      </x:c>
      <x:c r="U359" s="18" t="n">
        <x:f>S359-T359</x:f>
        <x:v>8115</x:v>
      </x:c>
    </x:row>
    <x:row r="360">
      <x:c r="A360" s="11" t="str">
        <x:v>V-0269</x:v>
      </x:c>
      <x:c r="B360" s="14" t="n">
        <x:v>46205</x:v>
      </x:c>
      <x:c r="C360" s="11" t="str">
        <x:v>Neiva</x:v>
      </x:c>
      <x:c r="D360" s="11" t="str">
        <x:v>Web</x:v>
      </x:c>
      <x:c r="E360" s="11" t="str">
        <x:v>Bebidas</x:v>
      </x:c>
      <x:c r="F360" s="11" t="str">
        <x:v>Bebida premium</x:v>
      </x:c>
      <x:c r="G360" s="11" t="str">
        <x:v>C-0031</x:v>
      </x:c>
      <x:c r="H360" s="11" t="str">
        <x:v>Recurrente</x:v>
      </x:c>
      <x:c r="I360" s="11" t="n">
        <x:v>2</x:v>
      </x:c>
      <x:c r="J360" s="18" t="n">
        <x:v>13500</x:v>
      </x:c>
      <x:c r="K360" s="16" t="n">
        <x:v>0</x:v>
      </x:c>
      <x:c r="L360" s="18" t="n">
        <x:v>8000</x:v>
      </x:c>
      <x:c r="M360" s="11" t="str">
        <x:v>Tarjeta</x:v>
      </x:c>
      <x:c r="N360" s="11" t="n">
        <x:v>70</x:v>
      </x:c>
      <x:c r="O360" s="11" t="str">
        <x:v>Tardía</x:v>
      </x:c>
      <x:c r="P360" s="20" t="n">
        <x:v>4</x:v>
      </x:c>
      <x:c r="Q360" s="18" t="n">
        <x:f>I360*J360</x:f>
        <x:v>27000</x:v>
      </x:c>
      <x:c r="R360" s="18" t="n">
        <x:f>Q360*K360</x:f>
        <x:v>0</x:v>
      </x:c>
      <x:c r="S360" s="18" t="n">
        <x:f>Q360-R360</x:f>
        <x:v>27000</x:v>
      </x:c>
      <x:c r="T360" s="18" t="n">
        <x:f>I360*L360</x:f>
        <x:v>16000</x:v>
      </x:c>
      <x:c r="U360" s="18" t="n">
        <x:f>S360-T360</x:f>
        <x:v>11000</x:v>
      </x:c>
    </x:row>
    <x:row r="361">
      <x:c r="A361" s="11" t="str">
        <x:v>V-0089</x:v>
      </x:c>
      <x:c r="B361" s="14" t="n">
        <x:v>46207</x:v>
      </x:c>
      <x:c r="C361" s="11" t="str">
        <x:v>Bogotá</x:v>
      </x:c>
      <x:c r="D361" s="11" t="str">
        <x:v>Web</x:v>
      </x:c>
      <x:c r="E361" s="11" t="str">
        <x:v>Hogar</x:v>
      </x:c>
      <x:c r="F361" s="11" t="str">
        <x:v>Organizador</x:v>
      </x:c>
      <x:c r="G361" s="11" t="str">
        <x:v>C-0042</x:v>
      </x:c>
      <x:c r="H361" s="11" t="str">
        <x:v>Nuevo</x:v>
      </x:c>
      <x:c r="I361" s="11" t="n">
        <x:v>3</x:v>
      </x:c>
      <x:c r="J361" s="18" t="n">
        <x:v>35400</x:v>
      </x:c>
      <x:c r="K361" s="16" t="n">
        <x:v>0</x:v>
      </x:c>
      <x:c r="L361" s="18" t="n">
        <x:v>21800</x:v>
      </x:c>
      <x:c r="M361" s="11" t="str">
        <x:v>Transferencia</x:v>
      </x:c>
      <x:c r="N361" s="11" t="n">
        <x:v>86</x:v>
      </x:c>
      <x:c r="O361" s="11" t="str">
        <x:v>Tardía</x:v>
      </x:c>
      <x:c r="P361" s="20" t="n">
        <x:v>4</x:v>
      </x:c>
      <x:c r="Q361" s="18" t="n">
        <x:f>I361*J361</x:f>
        <x:v>106200</x:v>
      </x:c>
      <x:c r="R361" s="18" t="n">
        <x:f>Q361*K361</x:f>
        <x:v>0</x:v>
      </x:c>
      <x:c r="S361" s="18" t="n">
        <x:f>Q361-R361</x:f>
        <x:v>106200</x:v>
      </x:c>
      <x:c r="T361" s="18" t="n">
        <x:f>I361*L361</x:f>
        <x:v>65400</x:v>
      </x:c>
      <x:c r="U361" s="18" t="n">
        <x:f>S361-T361</x:f>
        <x:v>40800</x:v>
      </x:c>
    </x:row>
    <x:row r="362">
      <x:c r="A362" s="11" t="str">
        <x:v>V-0371</x:v>
      </x:c>
      <x:c r="B362" s="14" t="n">
        <x:v>46207</x:v>
      </x:c>
      <x:c r="C362" s="11" t="str">
        <x:v>Florencia</x:v>
      </x:c>
      <x:c r="D362" s="11" t="str">
        <x:v>Web</x:v>
      </x:c>
      <x:c r="E362" s="11" t="str">
        <x:v>Hogar</x:v>
      </x:c>
      <x:c r="F362" s="11" t="str">
        <x:v>Kit limpieza</x:v>
      </x:c>
      <x:c r="G362" s="11" t="str">
        <x:v>C-0020</x:v>
      </x:c>
      <x:c r="H362" s="11" t="str">
        <x:v>Recurrente</x:v>
      </x:c>
      <x:c r="I362" s="11" t="n">
        <x:v>2</x:v>
      </x:c>
      <x:c r="J362" s="18" t="n">
        <x:v>23500</x:v>
      </x:c>
      <x:c r="K362" s="16" t="n">
        <x:v>0</x:v>
      </x:c>
      <x:c r="L362" s="18" t="n">
        <x:v>13300</x:v>
      </x:c>
      <x:c r="M362" s="11" t="str">
        <x:v>Tarjeta</x:v>
      </x:c>
      <x:c r="N362" s="11" t="n">
        <x:v>46</x:v>
      </x:c>
      <x:c r="O362" s="11" t="str">
        <x:v>A tiempo</x:v>
      </x:c>
      <x:c r="P362" s="20" t="n">
        <x:v>5</x:v>
      </x:c>
      <x:c r="Q362" s="18" t="n">
        <x:f>I362*J362</x:f>
        <x:v>47000</x:v>
      </x:c>
      <x:c r="R362" s="18" t="n">
        <x:f>Q362*K362</x:f>
        <x:v>0</x:v>
      </x:c>
      <x:c r="S362" s="18" t="n">
        <x:f>Q362-R362</x:f>
        <x:v>47000</x:v>
      </x:c>
      <x:c r="T362" s="18" t="n">
        <x:f>I362*L362</x:f>
        <x:v>26600</x:v>
      </x:c>
      <x:c r="U362" s="18" t="n">
        <x:f>S362-T362</x:f>
        <x:v>20400</x:v>
      </x:c>
    </x:row>
    <x:row r="363">
      <x:c r="A363" s="11" t="str">
        <x:v>V-0069</x:v>
      </x:c>
      <x:c r="B363" s="14" t="n">
        <x:v>46208</x:v>
      </x:c>
      <x:c r="C363" s="11" t="str">
        <x:v>Neiva</x:v>
      </x:c>
      <x:c r="D363" s="11" t="str">
        <x:v>Web</x:v>
      </x:c>
      <x:c r="E363" s="11" t="str">
        <x:v>Cuidado personal</x:v>
      </x:c>
      <x:c r="F363" s="11" t="str">
        <x:v>Producto bienestar</x:v>
      </x:c>
      <x:c r="G363" s="11" t="str">
        <x:v>C-0092</x:v>
      </x:c>
      <x:c r="H363" s="11" t="str">
        <x:v>Nuevo</x:v>
      </x:c>
      <x:c r="I363" s="11" t="n">
        <x:v>1</x:v>
      </x:c>
      <x:c r="J363" s="18" t="n">
        <x:v>31500</x:v>
      </x:c>
      <x:c r="K363" s="16" t="n">
        <x:v>0</x:v>
      </x:c>
      <x:c r="L363" s="18" t="n">
        <x:v>18300</x:v>
      </x:c>
      <x:c r="M363" s="11" t="str">
        <x:v>Tarjeta</x:v>
      </x:c>
      <x:c r="N363" s="11" t="n">
        <x:v>44</x:v>
      </x:c>
      <x:c r="O363" s="11" t="str">
        <x:v>A tiempo</x:v>
      </x:c>
      <x:c r="P363" s="20" t="n">
        <x:v>4</x:v>
      </x:c>
      <x:c r="Q363" s="18" t="n">
        <x:f>I363*J363</x:f>
        <x:v>31500</x:v>
      </x:c>
      <x:c r="R363" s="18" t="n">
        <x:f>Q363*K363</x:f>
        <x:v>0</x:v>
      </x:c>
      <x:c r="S363" s="18" t="n">
        <x:f>Q363-R363</x:f>
        <x:v>31500</x:v>
      </x:c>
      <x:c r="T363" s="18" t="n">
        <x:f>I363*L363</x:f>
        <x:v>18300</x:v>
      </x:c>
      <x:c r="U363" s="18" t="n">
        <x:f>S363-T363</x:f>
        <x:v>13200</x:v>
      </x:c>
    </x:row>
    <x:row r="364">
      <x:c r="A364" s="11" t="str">
        <x:v>V-0416</x:v>
      </x:c>
      <x:c r="B364" s="14" t="n">
        <x:v>46208</x:v>
      </x:c>
      <x:c r="C364" s="11" t="str">
        <x:v>Neiva</x:v>
      </x:c>
      <x:c r="D364" s="11" t="str">
        <x:v>Web</x:v>
      </x:c>
      <x:c r="E364" s="11" t="str">
        <x:v>Hogar</x:v>
      </x:c>
      <x:c r="F364" s="11" t="str">
        <x:v>Kit limpieza</x:v>
      </x:c>
      <x:c r="G364" s="11" t="str">
        <x:v>C-0082</x:v>
      </x:c>
      <x:c r="H364" s="11" t="str">
        <x:v>Recurrente</x:v>
      </x:c>
      <x:c r="I364" s="11" t="n">
        <x:v>1</x:v>
      </x:c>
      <x:c r="J364" s="18" t="n">
        <x:v>24000</x:v>
      </x:c>
      <x:c r="K364" s="16" t="n">
        <x:v>0.1</x:v>
      </x:c>
      <x:c r="L364" s="18" t="n">
        <x:v>14600</x:v>
      </x:c>
      <x:c r="M364" s="11" t="str">
        <x:v>Transferencia</x:v>
      </x:c>
      <x:c r="N364" s="11" t="n">
        <x:v>52</x:v>
      </x:c>
      <x:c r="O364" s="11" t="str">
        <x:v>A tiempo</x:v>
      </x:c>
      <x:c r="P364" s="20" t="n">
        <x:v>5</x:v>
      </x:c>
      <x:c r="Q364" s="18" t="n">
        <x:f>I364*J364</x:f>
        <x:v>24000</x:v>
      </x:c>
      <x:c r="R364" s="18" t="n">
        <x:f>Q364*K364</x:f>
        <x:v>2400</x:v>
      </x:c>
      <x:c r="S364" s="18" t="n">
        <x:f>Q364-R364</x:f>
        <x:v>21600</x:v>
      </x:c>
      <x:c r="T364" s="18" t="n">
        <x:f>I364*L364</x:f>
        <x:v>14600</x:v>
      </x:c>
      <x:c r="U364" s="18" t="n">
        <x:f>S364-T364</x:f>
        <x:v>7000</x:v>
      </x:c>
    </x:row>
    <x:row r="365">
      <x:c r="A365" s="11" t="str">
        <x:v>V-0191</x:v>
      </x:c>
      <x:c r="B365" s="14" t="n">
        <x:v>46210</x:v>
      </x:c>
      <x:c r="C365" s="11" t="str">
        <x:v>Medellín</x:v>
      </x:c>
      <x:c r="D365" s="11" t="str">
        <x:v>Tienda</x:v>
      </x:c>
      <x:c r="E365" s="11" t="str">
        <x:v>Hogar</x:v>
      </x:c>
      <x:c r="F365" s="11" t="str">
        <x:v>Accesorio hogar</x:v>
      </x:c>
      <x:c r="G365" s="11" t="str">
        <x:v>C-0045</x:v>
      </x:c>
      <x:c r="H365" s="11" t="str">
        <x:v>Nuevo</x:v>
      </x:c>
      <x:c r="I365" s="11" t="n">
        <x:v>3</x:v>
      </x:c>
      <x:c r="J365" s="18" t="n">
        <x:v>30800</x:v>
      </x:c>
      <x:c r="K365" s="16" t="n">
        <x:v>0</x:v>
      </x:c>
      <x:c r="L365" s="18" t="n">
        <x:v>19500</x:v>
      </x:c>
      <x:c r="M365" s="11" t="str">
        <x:v>Efectivo</x:v>
      </x:c>
      <x:c r="N365" s="11" t="n">
        <x:v>0</x:v>
      </x:c>
      <x:c r="O365" s="11" t="str">
        <x:v>No aplica</x:v>
      </x:c>
      <x:c r="P365" s="20" t="n">
        <x:v>3</x:v>
      </x:c>
      <x:c r="Q365" s="18" t="n">
        <x:f>I365*J365</x:f>
        <x:v>92400</x:v>
      </x:c>
      <x:c r="R365" s="18" t="n">
        <x:f>Q365*K365</x:f>
        <x:v>0</x:v>
      </x:c>
      <x:c r="S365" s="18" t="n">
        <x:f>Q365-R365</x:f>
        <x:v>92400</x:v>
      </x:c>
      <x:c r="T365" s="18" t="n">
        <x:f>I365*L365</x:f>
        <x:v>58500</x:v>
      </x:c>
      <x:c r="U365" s="18" t="n">
        <x:f>S365-T365</x:f>
        <x:v>33900</x:v>
      </x:c>
    </x:row>
    <x:row r="366">
      <x:c r="A366" s="11" t="str">
        <x:v>V-0227</x:v>
      </x:c>
      <x:c r="B366" s="14" t="n">
        <x:v>46210</x:v>
      </x:c>
      <x:c r="C366" s="11" t="str">
        <x:v>Ibagué</x:v>
      </x:c>
      <x:c r="D366" s="11" t="str">
        <x:v>Web</x:v>
      </x:c>
      <x:c r="E366" s="11" t="str">
        <x:v>Alimentos</x:v>
      </x:c>
      <x:c r="F366" s="11" t="str">
        <x:v>Snack saludable</x:v>
      </x:c>
      <x:c r="G366" s="11" t="str">
        <x:v>C-0041</x:v>
      </x:c>
      <x:c r="H366" s="11" t="str">
        <x:v>Recurrente</x:v>
      </x:c>
      <x:c r="I366" s="11" t="n">
        <x:v>4</x:v>
      </x:c>
      <x:c r="J366" s="18" t="n">
        <x:v>8400</x:v>
      </x:c>
      <x:c r="K366" s="16" t="n">
        <x:v>0.15</x:v>
      </x:c>
      <x:c r="L366" s="18" t="n">
        <x:v>5100</x:v>
      </x:c>
      <x:c r="M366" s="11" t="str">
        <x:v>Billetera digital</x:v>
      </x:c>
      <x:c r="N366" s="11" t="n">
        <x:v>55</x:v>
      </x:c>
      <x:c r="O366" s="11" t="str">
        <x:v>A tiempo</x:v>
      </x:c>
      <x:c r="P366" s="20" t="n">
        <x:v>4</x:v>
      </x:c>
      <x:c r="Q366" s="18" t="n">
        <x:f>I366*J366</x:f>
        <x:v>33600</x:v>
      </x:c>
      <x:c r="R366" s="18" t="n">
        <x:f>Q366*K366</x:f>
        <x:v>5040</x:v>
      </x:c>
      <x:c r="S366" s="18" t="n">
        <x:f>Q366-R366</x:f>
        <x:v>28560</x:v>
      </x:c>
      <x:c r="T366" s="18" t="n">
        <x:f>I366*L366</x:f>
        <x:v>20400</x:v>
      </x:c>
      <x:c r="U366" s="18" t="n">
        <x:f>S366-T366</x:f>
        <x:v>8160</x:v>
      </x:c>
    </x:row>
    <x:row r="367">
      <x:c r="A367" s="11" t="str">
        <x:v>V-0405</x:v>
      </x:c>
      <x:c r="B367" s="14" t="n">
        <x:v>46210</x:v>
      </x:c>
      <x:c r="C367" s="11" t="str">
        <x:v>Neiva</x:v>
      </x:c>
      <x:c r="D367" s="11" t="str">
        <x:v>App</x:v>
      </x:c>
      <x:c r="E367" s="11" t="str">
        <x:v>Hogar</x:v>
      </x:c>
      <x:c r="F367" s="11" t="str">
        <x:v>Kit limpieza</x:v>
      </x:c>
      <x:c r="G367" s="11" t="str">
        <x:v>C-0103</x:v>
      </x:c>
      <x:c r="H367" s="11" t="str">
        <x:v>Recurrente</x:v>
      </x:c>
      <x:c r="I367" s="11" t="n">
        <x:v>2</x:v>
      </x:c>
      <x:c r="J367" s="18" t="n">
        <x:v>23100</x:v>
      </x:c>
      <x:c r="K367" s="16" t="n">
        <x:v>0</x:v>
      </x:c>
      <x:c r="L367" s="18" t="n">
        <x:v>13700</x:v>
      </x:c>
      <x:c r="M367" s="11" t="str">
        <x:v>Billetera digital</x:v>
      </x:c>
      <x:c r="N367" s="11" t="n">
        <x:v>24</x:v>
      </x:c>
      <x:c r="O367" s="11" t="str">
        <x:v>A tiempo</x:v>
      </x:c>
      <x:c r="P367" s="20" t="n">
        <x:v>5</x:v>
      </x:c>
      <x:c r="Q367" s="18" t="n">
        <x:f>I367*J367</x:f>
        <x:v>46200</x:v>
      </x:c>
      <x:c r="R367" s="18" t="n">
        <x:f>Q367*K367</x:f>
        <x:v>0</x:v>
      </x:c>
      <x:c r="S367" s="18" t="n">
        <x:f>Q367-R367</x:f>
        <x:v>46200</x:v>
      </x:c>
      <x:c r="T367" s="18" t="n">
        <x:f>I367*L367</x:f>
        <x:v>27400</x:v>
      </x:c>
      <x:c r="U367" s="18" t="n">
        <x:f>S367-T367</x:f>
        <x:v>18800</x:v>
      </x:c>
    </x:row>
    <x:row r="368">
      <x:c r="A368" s="11" t="str">
        <x:v>V-0466</x:v>
      </x:c>
      <x:c r="B368" s="14" t="n">
        <x:v>46210</x:v>
      </x:c>
      <x:c r="C368" s="11" t="str">
        <x:v>Neiva</x:v>
      </x:c>
      <x:c r="D368" s="11" t="str">
        <x:v>Tienda</x:v>
      </x:c>
      <x:c r="E368" s="11" t="str">
        <x:v>Alimentos</x:v>
      </x:c>
      <x:c r="F368" s="11" t="str">
        <x:v>Producto gourmet</x:v>
      </x:c>
      <x:c r="G368" s="11" t="str">
        <x:v>C-0106</x:v>
      </x:c>
      <x:c r="H368" s="11" t="str">
        <x:v>Recurrente</x:v>
      </x:c>
      <x:c r="I368" s="11" t="n">
        <x:v>2</x:v>
      </x:c>
      <x:c r="J368" s="18" t="n">
        <x:v>29900</x:v>
      </x:c>
      <x:c r="K368" s="16" t="n">
        <x:v>0.05</x:v>
      </x:c>
      <x:c r="L368" s="18" t="n">
        <x:v>18800</x:v>
      </x:c>
      <x:c r="M368" s="11" t="str">
        <x:v>Transferencia</x:v>
      </x:c>
      <x:c r="N368" s="11" t="n">
        <x:v>0</x:v>
      </x:c>
      <x:c r="O368" s="11" t="str">
        <x:v>No aplica</x:v>
      </x:c>
      <x:c r="P368" s="20" t="n">
        <x:v>5</x:v>
      </x:c>
      <x:c r="Q368" s="18" t="n">
        <x:f>I368*J368</x:f>
        <x:v>59800</x:v>
      </x:c>
      <x:c r="R368" s="18" t="n">
        <x:f>Q368*K368</x:f>
        <x:v>2990</x:v>
      </x:c>
      <x:c r="S368" s="18" t="n">
        <x:f>Q368-R368</x:f>
        <x:v>56810</x:v>
      </x:c>
      <x:c r="T368" s="18" t="n">
        <x:f>I368*L368</x:f>
        <x:v>37600</x:v>
      </x:c>
      <x:c r="U368" s="18" t="n">
        <x:f>S368-T368</x:f>
        <x:v>19210</x:v>
      </x:c>
    </x:row>
    <x:row r="369">
      <x:c r="A369" s="11" t="str">
        <x:v>V-0099</x:v>
      </x:c>
      <x:c r="B369" s="14" t="n">
        <x:v>46211</x:v>
      </x:c>
      <x:c r="C369" s="11" t="str">
        <x:v>Florencia</x:v>
      </x:c>
      <x:c r="D369" s="11" t="str">
        <x:v>Tienda</x:v>
      </x:c>
      <x:c r="E369" s="11" t="str">
        <x:v>Hogar</x:v>
      </x:c>
      <x:c r="F369" s="11" t="str">
        <x:v>Accesorio hogar</x:v>
      </x:c>
      <x:c r="G369" s="11" t="str">
        <x:v>C-0048</x:v>
      </x:c>
      <x:c r="H369" s="11" t="str">
        <x:v>Recurrente</x:v>
      </x:c>
      <x:c r="I369" s="11" t="n">
        <x:v>1</x:v>
      </x:c>
      <x:c r="J369" s="18" t="n">
        <x:v>29500</x:v>
      </x:c>
      <x:c r="K369" s="16" t="n">
        <x:v>0</x:v>
      </x:c>
      <x:c r="L369" s="18" t="n">
        <x:v>18500</x:v>
      </x:c>
      <x:c r="M369" s="11" t="str">
        <x:v>Transferencia</x:v>
      </x:c>
      <x:c r="N369" s="11" t="n">
        <x:v>0</x:v>
      </x:c>
      <x:c r="O369" s="11" t="str">
        <x:v>No aplica</x:v>
      </x:c>
      <x:c r="P369" s="20" t="n">
        <x:v>5</x:v>
      </x:c>
      <x:c r="Q369" s="18" t="n">
        <x:f>I369*J369</x:f>
        <x:v>29500</x:v>
      </x:c>
      <x:c r="R369" s="18" t="n">
        <x:f>Q369*K369</x:f>
        <x:v>0</x:v>
      </x:c>
      <x:c r="S369" s="18" t="n">
        <x:f>Q369-R369</x:f>
        <x:v>29500</x:v>
      </x:c>
      <x:c r="T369" s="18" t="n">
        <x:f>I369*L369</x:f>
        <x:v>18500</x:v>
      </x:c>
      <x:c r="U369" s="18" t="n">
        <x:f>S369-T369</x:f>
        <x:v>11000</x:v>
      </x:c>
    </x:row>
    <x:row r="370">
      <x:c r="A370" s="11" t="str">
        <x:v>V-0175</x:v>
      </x:c>
      <x:c r="B370" s="14" t="n">
        <x:v>46211</x:v>
      </x:c>
      <x:c r="C370" s="11" t="str">
        <x:v>Florencia</x:v>
      </x:c>
      <x:c r="D370" s="11" t="str">
        <x:v>Tienda</x:v>
      </x:c>
      <x:c r="E370" s="11" t="str">
        <x:v>Hogar</x:v>
      </x:c>
      <x:c r="F370" s="11" t="str">
        <x:v>Kit limpieza</x:v>
      </x:c>
      <x:c r="G370" s="11" t="str">
        <x:v>C-0066</x:v>
      </x:c>
      <x:c r="H370" s="11" t="str">
        <x:v>Nuevo</x:v>
      </x:c>
      <x:c r="I370" s="11" t="n">
        <x:v>1</x:v>
      </x:c>
      <x:c r="J370" s="18" t="n">
        <x:v>25900</x:v>
      </x:c>
      <x:c r="K370" s="16" t="n">
        <x:v>0.1</x:v>
      </x:c>
      <x:c r="L370" s="18" t="n">
        <x:v>15800</x:v>
      </x:c>
      <x:c r="M370" s="11" t="str">
        <x:v>Efectivo</x:v>
      </x:c>
      <x:c r="N370" s="11" t="n">
        <x:v>0</x:v>
      </x:c>
      <x:c r="O370" s="11" t="str">
        <x:v>No aplica</x:v>
      </x:c>
      <x:c r="P370" s="20" t="n">
        <x:v>4</x:v>
      </x:c>
      <x:c r="Q370" s="18" t="n">
        <x:f>I370*J370</x:f>
        <x:v>25900</x:v>
      </x:c>
      <x:c r="R370" s="18" t="n">
        <x:f>Q370*K370</x:f>
        <x:v>2590</x:v>
      </x:c>
      <x:c r="S370" s="18" t="n">
        <x:f>Q370-R370</x:f>
        <x:v>23310</x:v>
      </x:c>
      <x:c r="T370" s="18" t="n">
        <x:f>I370*L370</x:f>
        <x:v>15800</x:v>
      </x:c>
      <x:c r="U370" s="18" t="n">
        <x:f>S370-T370</x:f>
        <x:v>7510</x:v>
      </x:c>
    </x:row>
    <x:row r="371">
      <x:c r="A371" s="11" t="str">
        <x:v>V-0024</x:v>
      </x:c>
      <x:c r="B371" s="14" t="n">
        <x:v>46212</x:v>
      </x:c>
      <x:c r="C371" s="11" t="str">
        <x:v>Ibagué</x:v>
      </x:c>
      <x:c r="D371" s="11" t="str">
        <x:v>Tienda</x:v>
      </x:c>
      <x:c r="E371" s="11" t="str">
        <x:v>Hogar</x:v>
      </x:c>
      <x:c r="F371" s="11" t="str">
        <x:v>Organizador</x:v>
      </x:c>
      <x:c r="G371" s="11" t="str">
        <x:v>C-0102</x:v>
      </x:c>
      <x:c r="H371" s="11" t="str">
        <x:v>Nuevo</x:v>
      </x:c>
      <x:c r="I371" s="11" t="n">
        <x:v>4</x:v>
      </x:c>
      <x:c r="J371" s="18" t="n">
        <x:v>34000</x:v>
      </x:c>
      <x:c r="K371" s="16" t="n">
        <x:v>0.05</x:v>
      </x:c>
      <x:c r="L371" s="18" t="n">
        <x:v>20000</x:v>
      </x:c>
      <x:c r="M371" s="11" t="str">
        <x:v>Transferencia</x:v>
      </x:c>
      <x:c r="N371" s="11" t="n">
        <x:v>0</x:v>
      </x:c>
      <x:c r="O371" s="11" t="str">
        <x:v>No aplica</x:v>
      </x:c>
      <x:c r="P371" s="20" t="n">
        <x:v>3</x:v>
      </x:c>
      <x:c r="Q371" s="18" t="n">
        <x:f>I371*J371</x:f>
        <x:v>136000</x:v>
      </x:c>
      <x:c r="R371" s="18" t="n">
        <x:f>Q371*K371</x:f>
        <x:v>6800</x:v>
      </x:c>
      <x:c r="S371" s="18" t="n">
        <x:f>Q371-R371</x:f>
        <x:v>129200</x:v>
      </x:c>
      <x:c r="T371" s="18" t="n">
        <x:f>I371*L371</x:f>
        <x:v>80000</x:v>
      </x:c>
      <x:c r="U371" s="18" t="n">
        <x:f>S371-T371</x:f>
        <x:v>49200</x:v>
      </x:c>
    </x:row>
    <x:row r="372">
      <x:c r="A372" s="11" t="str">
        <x:v>V-0027</x:v>
      </x:c>
      <x:c r="B372" s="14" t="n">
        <x:v>46212</x:v>
      </x:c>
      <x:c r="C372" s="11" t="str">
        <x:v>Neiva</x:v>
      </x:c>
      <x:c r="D372" s="11" t="str">
        <x:v>App</x:v>
      </x:c>
      <x:c r="E372" s="11" t="str">
        <x:v>Alimentos</x:v>
      </x:c>
      <x:c r="F372" s="11" t="str">
        <x:v>Snack saludable</x:v>
      </x:c>
      <x:c r="G372" s="11" t="str">
        <x:v>C-0095</x:v>
      </x:c>
      <x:c r="H372" s="11" t="str">
        <x:v>Recurrente</x:v>
      </x:c>
      <x:c r="I372" s="11" t="n">
        <x:v>1</x:v>
      </x:c>
      <x:c r="J372" s="18" t="n">
        <x:v>9400</x:v>
      </x:c>
      <x:c r="K372" s="16" t="n">
        <x:v>0.05</x:v>
      </x:c>
      <x:c r="L372" s="18" t="n">
        <x:v>5300</x:v>
      </x:c>
      <x:c r="M372" s="11" t="str">
        <x:v>Efectivo</x:v>
      </x:c>
      <x:c r="N372" s="11" t="n">
        <x:v>42</x:v>
      </x:c>
      <x:c r="O372" s="11" t="str">
        <x:v>A tiempo</x:v>
      </x:c>
      <x:c r="P372" s="20" t="n">
        <x:v>2</x:v>
      </x:c>
      <x:c r="Q372" s="18" t="n">
        <x:f>I372*J372</x:f>
        <x:v>9400</x:v>
      </x:c>
      <x:c r="R372" s="18" t="n">
        <x:f>Q372*K372</x:f>
        <x:v>470</x:v>
      </x:c>
      <x:c r="S372" s="18" t="n">
        <x:f>Q372-R372</x:f>
        <x:v>8930</x:v>
      </x:c>
      <x:c r="T372" s="18" t="n">
        <x:f>I372*L372</x:f>
        <x:v>5300</x:v>
      </x:c>
      <x:c r="U372" s="18" t="n">
        <x:f>S372-T372</x:f>
        <x:v>3630</x:v>
      </x:c>
    </x:row>
    <x:row r="373">
      <x:c r="A373" s="11" t="str">
        <x:v>V-0064</x:v>
      </x:c>
      <x:c r="B373" s="14" t="n">
        <x:v>46212</x:v>
      </x:c>
      <x:c r="C373" s="11" t="str">
        <x:v>Ibagué</x:v>
      </x:c>
      <x:c r="D373" s="11" t="str">
        <x:v>Tienda</x:v>
      </x:c>
      <x:c r="E373" s="11" t="str">
        <x:v>Bebidas</x:v>
      </x:c>
      <x:c r="F373" s="11" t="str">
        <x:v>Bebida caliente</x:v>
      </x:c>
      <x:c r="G373" s="11" t="str">
        <x:v>C-0015</x:v>
      </x:c>
      <x:c r="H373" s="11" t="str">
        <x:v>Nuevo</x:v>
      </x:c>
      <x:c r="I373" s="11" t="n">
        <x:v>1</x:v>
      </x:c>
      <x:c r="J373" s="18" t="n">
        <x:v>6400</x:v>
      </x:c>
      <x:c r="K373" s="16" t="n">
        <x:v>0</x:v>
      </x:c>
      <x:c r="L373" s="18" t="n">
        <x:v>3000</x:v>
      </x:c>
      <x:c r="M373" s="11" t="str">
        <x:v>Efectivo</x:v>
      </x:c>
      <x:c r="N373" s="11" t="n">
        <x:v>0</x:v>
      </x:c>
      <x:c r="O373" s="11" t="str">
        <x:v>No aplica</x:v>
      </x:c>
      <x:c r="P373" s="20" t="n">
        <x:v>4</x:v>
      </x:c>
      <x:c r="Q373" s="18" t="n">
        <x:f>I373*J373</x:f>
        <x:v>6400</x:v>
      </x:c>
      <x:c r="R373" s="18" t="n">
        <x:f>Q373*K373</x:f>
        <x:v>0</x:v>
      </x:c>
      <x:c r="S373" s="18" t="n">
        <x:f>Q373-R373</x:f>
        <x:v>6400</x:v>
      </x:c>
      <x:c r="T373" s="18" t="n">
        <x:f>I373*L373</x:f>
        <x:v>3000</x:v>
      </x:c>
      <x:c r="U373" s="18" t="n">
        <x:f>S373-T373</x:f>
        <x:v>3400</x:v>
      </x:c>
    </x:row>
    <x:row r="374">
      <x:c r="A374" s="11" t="str">
        <x:v>V-0152</x:v>
      </x:c>
      <x:c r="B374" s="14" t="n">
        <x:v>46212</x:v>
      </x:c>
      <x:c r="C374" s="11" t="str">
        <x:v>Medellín</x:v>
      </x:c>
      <x:c r="D374" s="11" t="str">
        <x:v>App</x:v>
      </x:c>
      <x:c r="E374" s="11" t="str">
        <x:v>Cuidado personal</x:v>
      </x:c>
      <x:c r="F374" s="11" t="str">
        <x:v>Producto bienestar</x:v>
      </x:c>
      <x:c r="G374" s="11" t="str">
        <x:v>C-0118</x:v>
      </x:c>
      <x:c r="H374" s="11" t="str">
        <x:v>Recurrente</x:v>
      </x:c>
      <x:c r="I374" s="11" t="n">
        <x:v>5</x:v>
      </x:c>
      <x:c r="J374" s="18" t="n">
        <x:v>32000</x:v>
      </x:c>
      <x:c r="K374" s="16" t="n">
        <x:v>0.05</x:v>
      </x:c>
      <x:c r="L374" s="18" t="n">
        <x:v>19200</x:v>
      </x:c>
      <x:c r="M374" s="11" t="str">
        <x:v>Tarjeta</x:v>
      </x:c>
      <x:c r="N374" s="11" t="n">
        <x:v>75</x:v>
      </x:c>
      <x:c r="O374" s="11" t="str">
        <x:v>Tardía</x:v>
      </x:c>
      <x:c r="P374" s="20" t="n">
        <x:v>4</x:v>
      </x:c>
      <x:c r="Q374" s="18" t="n">
        <x:f>I374*J374</x:f>
        <x:v>160000</x:v>
      </x:c>
      <x:c r="R374" s="18" t="n">
        <x:f>Q374*K374</x:f>
        <x:v>8000</x:v>
      </x:c>
      <x:c r="S374" s="18" t="n">
        <x:f>Q374-R374</x:f>
        <x:v>152000</x:v>
      </x:c>
      <x:c r="T374" s="18" t="n">
        <x:f>I374*L374</x:f>
        <x:v>96000</x:v>
      </x:c>
      <x:c r="U374" s="18" t="n">
        <x:f>S374-T374</x:f>
        <x:v>56000</x:v>
      </x:c>
    </x:row>
    <x:row r="375">
      <x:c r="A375" s="11" t="str">
        <x:v>V-0150</x:v>
      </x:c>
      <x:c r="B375" s="14" t="n">
        <x:v>46213</x:v>
      </x:c>
      <x:c r="C375" s="11" t="str">
        <x:v>Neiva</x:v>
      </x:c>
      <x:c r="D375" s="11" t="str">
        <x:v>App</x:v>
      </x:c>
      <x:c r="E375" s="11" t="str">
        <x:v>Hogar</x:v>
      </x:c>
      <x:c r="F375" s="11" t="str">
        <x:v>Kit limpieza</x:v>
      </x:c>
      <x:c r="G375" s="11" t="str">
        <x:v>C-0024</x:v>
      </x:c>
      <x:c r="H375" s="11" t="str">
        <x:v>Recurrente</x:v>
      </x:c>
      <x:c r="I375" s="11" t="n">
        <x:v>4</x:v>
      </x:c>
      <x:c r="J375" s="18" t="n">
        <x:v>25500</x:v>
      </x:c>
      <x:c r="K375" s="16" t="n">
        <x:v>0</x:v>
      </x:c>
      <x:c r="L375" s="18" t="n">
        <x:v>14500</x:v>
      </x:c>
      <x:c r="M375" s="11" t="str">
        <x:v>Tarjeta</x:v>
      </x:c>
      <x:c r="N375" s="11" t="n">
        <x:v>44</x:v>
      </x:c>
      <x:c r="O375" s="11" t="str">
        <x:v>A tiempo</x:v>
      </x:c>
      <x:c r="P375" s="20" t="n">
        <x:v>5</x:v>
      </x:c>
      <x:c r="Q375" s="18" t="n">
        <x:f>I375*J375</x:f>
        <x:v>102000</x:v>
      </x:c>
      <x:c r="R375" s="18" t="n">
        <x:f>Q375*K375</x:f>
        <x:v>0</x:v>
      </x:c>
      <x:c r="S375" s="18" t="n">
        <x:f>Q375-R375</x:f>
        <x:v>102000</x:v>
      </x:c>
      <x:c r="T375" s="18" t="n">
        <x:f>I375*L375</x:f>
        <x:v>58000</x:v>
      </x:c>
      <x:c r="U375" s="18" t="n">
        <x:f>S375-T375</x:f>
        <x:v>44000</x:v>
      </x:c>
    </x:row>
    <x:row r="376">
      <x:c r="A376" s="11" t="str">
        <x:v>V-0053</x:v>
      </x:c>
      <x:c r="B376" s="14" t="n">
        <x:v>46214</x:v>
      </x:c>
      <x:c r="C376" s="11" t="str">
        <x:v>Bogotá</x:v>
      </x:c>
      <x:c r="D376" s="11" t="str">
        <x:v>Tienda</x:v>
      </x:c>
      <x:c r="E376" s="11" t="str">
        <x:v>Alimentos</x:v>
      </x:c>
      <x:c r="F376" s="11" t="str">
        <x:v>Producto gourmet</x:v>
      </x:c>
      <x:c r="G376" s="11" t="str">
        <x:v>C-0061</x:v>
      </x:c>
      <x:c r="H376" s="11" t="str">
        <x:v>Nuevo</x:v>
      </x:c>
      <x:c r="I376" s="11" t="n">
        <x:v>5</x:v>
      </x:c>
      <x:c r="J376" s="18" t="n">
        <x:v>34700</x:v>
      </x:c>
      <x:c r="K376" s="16" t="n">
        <x:v>0</x:v>
      </x:c>
      <x:c r="L376" s="18" t="n">
        <x:v>22000</x:v>
      </x:c>
      <x:c r="M376" s="11" t="str">
        <x:v>Tarjeta</x:v>
      </x:c>
      <x:c r="N376" s="11" t="n">
        <x:v>0</x:v>
      </x:c>
      <x:c r="O376" s="11" t="str">
        <x:v>No aplica</x:v>
      </x:c>
      <x:c r="P376" s="20" t="n">
        <x:v>4</x:v>
      </x:c>
      <x:c r="Q376" s="18" t="n">
        <x:f>I376*J376</x:f>
        <x:v>173500</x:v>
      </x:c>
      <x:c r="R376" s="18" t="n">
        <x:f>Q376*K376</x:f>
        <x:v>0</x:v>
      </x:c>
      <x:c r="S376" s="18" t="n">
        <x:f>Q376-R376</x:f>
        <x:v>173500</x:v>
      </x:c>
      <x:c r="T376" s="18" t="n">
        <x:f>I376*L376</x:f>
        <x:v>110000</x:v>
      </x:c>
      <x:c r="U376" s="18" t="n">
        <x:f>S376-T376</x:f>
        <x:v>63500</x:v>
      </x:c>
    </x:row>
    <x:row r="377">
      <x:c r="A377" s="11" t="str">
        <x:v>V-0448</x:v>
      </x:c>
      <x:c r="B377" s="14" t="n">
        <x:v>46214</x:v>
      </x:c>
      <x:c r="C377" s="11" t="str">
        <x:v>Bogotá</x:v>
      </x:c>
      <x:c r="D377" s="11" t="str">
        <x:v>App</x:v>
      </x:c>
      <x:c r="E377" s="11" t="str">
        <x:v>Bebidas</x:v>
      </x:c>
      <x:c r="F377" s="11" t="str">
        <x:v>Bebida fría</x:v>
      </x:c>
      <x:c r="G377" s="11" t="str">
        <x:v>C-0064</x:v>
      </x:c>
      <x:c r="H377" s="11" t="str">
        <x:v>Recurrente</x:v>
      </x:c>
      <x:c r="I377" s="11" t="n">
        <x:v>3</x:v>
      </x:c>
      <x:c r="J377" s="18" t="n">
        <x:v>7500</x:v>
      </x:c>
      <x:c r="K377" s="16" t="n">
        <x:v>0.1</x:v>
      </x:c>
      <x:c r="L377" s="18" t="n">
        <x:v>3900</x:v>
      </x:c>
      <x:c r="M377" s="11" t="str">
        <x:v>Transferencia</x:v>
      </x:c>
      <x:c r="N377" s="11" t="n">
        <x:v>58</x:v>
      </x:c>
      <x:c r="O377" s="11" t="str">
        <x:v>A tiempo</x:v>
      </x:c>
      <x:c r="P377" s="20" t="n">
        <x:v>4</x:v>
      </x:c>
      <x:c r="Q377" s="18" t="n">
        <x:f>I377*J377</x:f>
        <x:v>22500</x:v>
      </x:c>
      <x:c r="R377" s="18" t="n">
        <x:f>Q377*K377</x:f>
        <x:v>2250</x:v>
      </x:c>
      <x:c r="S377" s="18" t="n">
        <x:f>Q377-R377</x:f>
        <x:v>20250</x:v>
      </x:c>
      <x:c r="T377" s="18" t="n">
        <x:f>I377*L377</x:f>
        <x:v>11700</x:v>
      </x:c>
      <x:c r="U377" s="18" t="n">
        <x:f>S377-T377</x:f>
        <x:v>8550</x:v>
      </x:c>
    </x:row>
    <x:row r="378">
      <x:c r="A378" s="11" t="str">
        <x:v>V-0247</x:v>
      </x:c>
      <x:c r="B378" s="14" t="n">
        <x:v>46215</x:v>
      </x:c>
      <x:c r="C378" s="11" t="str">
        <x:v>Ibagué</x:v>
      </x:c>
      <x:c r="D378" s="11" t="str">
        <x:v>App</x:v>
      </x:c>
      <x:c r="E378" s="11" t="str">
        <x:v>Bebidas</x:v>
      </x:c>
      <x:c r="F378" s="11" t="str">
        <x:v>Bebida caliente</x:v>
      </x:c>
      <x:c r="G378" s="11" t="str">
        <x:v>C-0027</x:v>
      </x:c>
      <x:c r="H378" s="11" t="str">
        <x:v>Recurrente</x:v>
      </x:c>
      <x:c r="I378" s="11" t="n">
        <x:v>6</x:v>
      </x:c>
      <x:c r="J378" s="18" t="n">
        <x:v>6600</x:v>
      </x:c>
      <x:c r="K378" s="16" t="n">
        <x:v>0.2</x:v>
      </x:c>
      <x:c r="L378" s="18" t="n">
        <x:v>3100</x:v>
      </x:c>
      <x:c r="M378" s="11" t="str">
        <x:v>Tarjeta</x:v>
      </x:c>
      <x:c r="N378" s="11" t="n">
        <x:v>30</x:v>
      </x:c>
      <x:c r="O378" s="11" t="str">
        <x:v>A tiempo</x:v>
      </x:c>
      <x:c r="P378" s="20" t="n">
        <x:v>4</x:v>
      </x:c>
      <x:c r="Q378" s="18" t="n">
        <x:f>I378*J378</x:f>
        <x:v>39600</x:v>
      </x:c>
      <x:c r="R378" s="18" t="n">
        <x:f>Q378*K378</x:f>
        <x:v>7920</x:v>
      </x:c>
      <x:c r="S378" s="18" t="n">
        <x:f>Q378-R378</x:f>
        <x:v>31680</x:v>
      </x:c>
      <x:c r="T378" s="18" t="n">
        <x:f>I378*L378</x:f>
        <x:v>18600</x:v>
      </x:c>
      <x:c r="U378" s="18" t="n">
        <x:f>S378-T378</x:f>
        <x:v>13080</x:v>
      </x:c>
    </x:row>
    <x:row r="379">
      <x:c r="A379" s="11" t="str">
        <x:v>V-0034</x:v>
      </x:c>
      <x:c r="B379" s="14" t="n">
        <x:v>46216</x:v>
      </x:c>
      <x:c r="C379" s="11" t="str">
        <x:v>Medellín</x:v>
      </x:c>
      <x:c r="D379" s="11" t="str">
        <x:v>Tienda</x:v>
      </x:c>
      <x:c r="E379" s="11" t="str">
        <x:v>Cuidado personal</x:v>
      </x:c>
      <x:c r="F379" s="11" t="str">
        <x:v>Accesorio personal</x:v>
      </x:c>
      <x:c r="G379" s="11" t="str">
        <x:v>C-0031</x:v>
      </x:c>
      <x:c r="H379" s="11" t="str">
        <x:v>Nuevo</x:v>
      </x:c>
      <x:c r="I379" s="11" t="n">
        <x:v>1</x:v>
      </x:c>
      <x:c r="J379" s="18" t="n">
        <x:v>17200</x:v>
      </x:c>
      <x:c r="K379" s="16" t="n">
        <x:v>0</x:v>
      </x:c>
      <x:c r="L379" s="18" t="n">
        <x:v>10000</x:v>
      </x:c>
      <x:c r="M379" s="11" t="str">
        <x:v>Billetera digital</x:v>
      </x:c>
      <x:c r="N379" s="11" t="n">
        <x:v>0</x:v>
      </x:c>
      <x:c r="O379" s="11" t="str">
        <x:v>No aplica</x:v>
      </x:c>
      <x:c r="P379" s="20" t="n">
        <x:v>4</x:v>
      </x:c>
      <x:c r="Q379" s="18" t="n">
        <x:f>I379*J379</x:f>
        <x:v>17200</x:v>
      </x:c>
      <x:c r="R379" s="18" t="n">
        <x:f>Q379*K379</x:f>
        <x:v>0</x:v>
      </x:c>
      <x:c r="S379" s="18" t="n">
        <x:f>Q379-R379</x:f>
        <x:v>17200</x:v>
      </x:c>
      <x:c r="T379" s="18" t="n">
        <x:f>I379*L379</x:f>
        <x:v>10000</x:v>
      </x:c>
      <x:c r="U379" s="18" t="n">
        <x:f>S379-T379</x:f>
        <x:v>7200</x:v>
      </x:c>
    </x:row>
    <x:row r="380">
      <x:c r="A380" s="11" t="str">
        <x:v>V-0378</x:v>
      </x:c>
      <x:c r="B380" s="14" t="n">
        <x:v>46216</x:v>
      </x:c>
      <x:c r="C380" s="11" t="str">
        <x:v>Neiva</x:v>
      </x:c>
      <x:c r="D380" s="11" t="str">
        <x:v>App</x:v>
      </x:c>
      <x:c r="E380" s="11" t="str">
        <x:v>Bebidas</x:v>
      </x:c>
      <x:c r="F380" s="11" t="str">
        <x:v>Bebida premium</x:v>
      </x:c>
      <x:c r="G380" s="11" t="str">
        <x:v>C-0055</x:v>
      </x:c>
      <x:c r="H380" s="11" t="str">
        <x:v>Recurrente</x:v>
      </x:c>
      <x:c r="I380" s="11" t="n">
        <x:v>2</x:v>
      </x:c>
      <x:c r="J380" s="18" t="n">
        <x:v>14600</x:v>
      </x:c>
      <x:c r="K380" s="16" t="n">
        <x:v>0</x:v>
      </x:c>
      <x:c r="L380" s="18" t="n">
        <x:v>8400</x:v>
      </x:c>
      <x:c r="M380" s="11" t="str">
        <x:v>Tarjeta</x:v>
      </x:c>
      <x:c r="N380" s="11" t="n">
        <x:v>50</x:v>
      </x:c>
      <x:c r="O380" s="11" t="str">
        <x:v>A tiempo</x:v>
      </x:c>
      <x:c r="P380" s="20" t="n">
        <x:v>5</x:v>
      </x:c>
      <x:c r="Q380" s="18" t="n">
        <x:f>I380*J380</x:f>
        <x:v>29200</x:v>
      </x:c>
      <x:c r="R380" s="18" t="n">
        <x:f>Q380*K380</x:f>
        <x:v>0</x:v>
      </x:c>
      <x:c r="S380" s="18" t="n">
        <x:f>Q380-R380</x:f>
        <x:v>29200</x:v>
      </x:c>
      <x:c r="T380" s="18" t="n">
        <x:f>I380*L380</x:f>
        <x:v>16800</x:v>
      </x:c>
      <x:c r="U380" s="18" t="n">
        <x:f>S380-T380</x:f>
        <x:v>12400</x:v>
      </x:c>
    </x:row>
    <x:row r="381">
      <x:c r="A381" s="11" t="str">
        <x:v>V-0025</x:v>
      </x:c>
      <x:c r="B381" s="14" t="n">
        <x:v>46217</x:v>
      </x:c>
      <x:c r="C381" s="11" t="str">
        <x:v>Bogotá</x:v>
      </x:c>
      <x:c r="D381" s="11" t="str">
        <x:v>Tienda</x:v>
      </x:c>
      <x:c r="E381" s="11" t="str">
        <x:v>Hogar</x:v>
      </x:c>
      <x:c r="F381" s="11" t="str">
        <x:v>Accesorio hogar</x:v>
      </x:c>
      <x:c r="G381" s="11" t="str">
        <x:v>C-0001</x:v>
      </x:c>
      <x:c r="H381" s="11" t="str">
        <x:v>Nuevo</x:v>
      </x:c>
      <x:c r="I381" s="11" t="n">
        <x:v>3</x:v>
      </x:c>
      <x:c r="J381" s="18" t="n">
        <x:v>29800</x:v>
      </x:c>
      <x:c r="K381" s="16" t="n">
        <x:v>0</x:v>
      </x:c>
      <x:c r="L381" s="18" t="n">
        <x:v>18000</x:v>
      </x:c>
      <x:c r="M381" s="11" t="str">
        <x:v>Tarjeta</x:v>
      </x:c>
      <x:c r="N381" s="11" t="n">
        <x:v>0</x:v>
      </x:c>
      <x:c r="O381" s="11" t="str">
        <x:v>No aplica</x:v>
      </x:c>
      <x:c r="P381" s="20" t="n">
        <x:v>5</x:v>
      </x:c>
      <x:c r="Q381" s="18" t="n">
        <x:f>I381*J381</x:f>
        <x:v>89400</x:v>
      </x:c>
      <x:c r="R381" s="18" t="n">
        <x:f>Q381*K381</x:f>
        <x:v>0</x:v>
      </x:c>
      <x:c r="S381" s="18" t="n">
        <x:f>Q381-R381</x:f>
        <x:v>89400</x:v>
      </x:c>
      <x:c r="T381" s="18" t="n">
        <x:f>I381*L381</x:f>
        <x:v>54000</x:v>
      </x:c>
      <x:c r="U381" s="18" t="n">
        <x:f>S381-T381</x:f>
        <x:v>35400</x:v>
      </x:c>
    </x:row>
    <x:row r="382">
      <x:c r="A382" s="11" t="str">
        <x:v>V-0131</x:v>
      </x:c>
      <x:c r="B382" s="14" t="n">
        <x:v>46217</x:v>
      </x:c>
      <x:c r="C382" s="11" t="str">
        <x:v>Bogotá</x:v>
      </x:c>
      <x:c r="D382" s="11" t="str">
        <x:v>App</x:v>
      </x:c>
      <x:c r="E382" s="11" t="str">
        <x:v>Hogar</x:v>
      </x:c>
      <x:c r="F382" s="11" t="str">
        <x:v>Accesorio hogar</x:v>
      </x:c>
      <x:c r="G382" s="11" t="str">
        <x:v>C-0119</x:v>
      </x:c>
      <x:c r="H382" s="11" t="str">
        <x:v>Recurrente</x:v>
      </x:c>
      <x:c r="I382" s="11" t="n">
        <x:v>3</x:v>
      </x:c>
      <x:c r="J382" s="18" t="n">
        <x:v>30900</x:v>
      </x:c>
      <x:c r="K382" s="16" t="n">
        <x:v>0</x:v>
      </x:c>
      <x:c r="L382" s="18" t="n">
        <x:v>18800</x:v>
      </x:c>
      <x:c r="M382" s="11" t="str">
        <x:v>Tarjeta</x:v>
      </x:c>
      <x:c r="N382" s="11" t="n">
        <x:v>59</x:v>
      </x:c>
      <x:c r="O382" s="11" t="str">
        <x:v>A tiempo</x:v>
      </x:c>
      <x:c r="P382" s="20" t="n">
        <x:v>4</x:v>
      </x:c>
      <x:c r="Q382" s="18" t="n">
        <x:f>I382*J382</x:f>
        <x:v>92700</x:v>
      </x:c>
      <x:c r="R382" s="18" t="n">
        <x:f>Q382*K382</x:f>
        <x:v>0</x:v>
      </x:c>
      <x:c r="S382" s="18" t="n">
        <x:f>Q382-R382</x:f>
        <x:v>92700</x:v>
      </x:c>
      <x:c r="T382" s="18" t="n">
        <x:f>I382*L382</x:f>
        <x:v>56400</x:v>
      </x:c>
      <x:c r="U382" s="18" t="n">
        <x:f>S382-T382</x:f>
        <x:v>36300</x:v>
      </x:c>
    </x:row>
    <x:row r="383">
      <x:c r="A383" s="11" t="str">
        <x:v>V-0006</x:v>
      </x:c>
      <x:c r="B383" s="14" t="n">
        <x:v>46218</x:v>
      </x:c>
      <x:c r="C383" s="11" t="str">
        <x:v>Neiva</x:v>
      </x:c>
      <x:c r="D383" s="11" t="str">
        <x:v>Tienda</x:v>
      </x:c>
      <x:c r="E383" s="11" t="str">
        <x:v>Bebidas</x:v>
      </x:c>
      <x:c r="F383" s="11" t="str">
        <x:v>Bebida fría</x:v>
      </x:c>
      <x:c r="G383" s="11" t="str">
        <x:v>C-0019</x:v>
      </x:c>
      <x:c r="H383" s="11" t="str">
        <x:v>Nuevo</x:v>
      </x:c>
      <x:c r="I383" s="11" t="n">
        <x:v>1</x:v>
      </x:c>
      <x:c r="J383" s="18" t="n">
        <x:v>6500</x:v>
      </x:c>
      <x:c r="K383" s="16" t="n">
        <x:v>0</x:v>
      </x:c>
      <x:c r="L383" s="18" t="n">
        <x:v>3400</x:v>
      </x:c>
      <x:c r="M383" s="11" t="str">
        <x:v>Efectivo</x:v>
      </x:c>
      <x:c r="N383" s="11" t="n">
        <x:v>0</x:v>
      </x:c>
      <x:c r="O383" s="11" t="str">
        <x:v>No aplica</x:v>
      </x:c>
      <x:c r="P383" s="20" t="n">
        <x:v>5</x:v>
      </x:c>
      <x:c r="Q383" s="18" t="n">
        <x:f>I383*J383</x:f>
        <x:v>6500</x:v>
      </x:c>
      <x:c r="R383" s="18" t="n">
        <x:f>Q383*K383</x:f>
        <x:v>0</x:v>
      </x:c>
      <x:c r="S383" s="18" t="n">
        <x:f>Q383-R383</x:f>
        <x:v>6500</x:v>
      </x:c>
      <x:c r="T383" s="18" t="n">
        <x:f>I383*L383</x:f>
        <x:v>3400</x:v>
      </x:c>
      <x:c r="U383" s="18" t="n">
        <x:f>S383-T383</x:f>
        <x:v>3100</x:v>
      </x:c>
    </x:row>
    <x:row r="384">
      <x:c r="A384" s="11" t="str">
        <x:v>V-0106</x:v>
      </x:c>
      <x:c r="B384" s="14" t="n">
        <x:v>46218</x:v>
      </x:c>
      <x:c r="C384" s="11" t="str">
        <x:v>Ibagué</x:v>
      </x:c>
      <x:c r="D384" s="11" t="str">
        <x:v>Tienda</x:v>
      </x:c>
      <x:c r="E384" s="11" t="str">
        <x:v>Hogar</x:v>
      </x:c>
      <x:c r="F384" s="11" t="str">
        <x:v>Kit limpieza</x:v>
      </x:c>
      <x:c r="G384" s="11" t="str">
        <x:v>C-0086</x:v>
      </x:c>
      <x:c r="H384" s="11" t="str">
        <x:v>Recurrente</x:v>
      </x:c>
      <x:c r="I384" s="11" t="n">
        <x:v>2</x:v>
      </x:c>
      <x:c r="J384" s="18" t="n">
        <x:v>21800</x:v>
      </x:c>
      <x:c r="K384" s="16" t="n">
        <x:v>0</x:v>
      </x:c>
      <x:c r="L384" s="18" t="n">
        <x:v>12900</x:v>
      </x:c>
      <x:c r="M384" s="11" t="str">
        <x:v>Transferencia</x:v>
      </x:c>
      <x:c r="N384" s="11" t="n">
        <x:v>0</x:v>
      </x:c>
      <x:c r="O384" s="11" t="str">
        <x:v>No aplica</x:v>
      </x:c>
      <x:c r="P384" s="20" t="n">
        <x:v>5</x:v>
      </x:c>
      <x:c r="Q384" s="18" t="n">
        <x:f>I384*J384</x:f>
        <x:v>43600</x:v>
      </x:c>
      <x:c r="R384" s="18" t="n">
        <x:f>Q384*K384</x:f>
        <x:v>0</x:v>
      </x:c>
      <x:c r="S384" s="18" t="n">
        <x:f>Q384-R384</x:f>
        <x:v>43600</x:v>
      </x:c>
      <x:c r="T384" s="18" t="n">
        <x:f>I384*L384</x:f>
        <x:v>25800</x:v>
      </x:c>
      <x:c r="U384" s="18" t="n">
        <x:f>S384-T384</x:f>
        <x:v>17800</x:v>
      </x:c>
    </x:row>
    <x:row r="385">
      <x:c r="A385" s="11" t="str">
        <x:v>V-0223</x:v>
      </x:c>
      <x:c r="B385" s="14" t="n">
        <x:v>46218</x:v>
      </x:c>
      <x:c r="C385" s="11" t="str">
        <x:v>Neiva</x:v>
      </x:c>
      <x:c r="D385" s="11" t="str">
        <x:v>Tienda</x:v>
      </x:c>
      <x:c r="E385" s="11" t="str">
        <x:v>Hogar</x:v>
      </x:c>
      <x:c r="F385" s="11" t="str">
        <x:v>Kit limpieza</x:v>
      </x:c>
      <x:c r="G385" s="11" t="str">
        <x:v>C-0044</x:v>
      </x:c>
      <x:c r="H385" s="11" t="str">
        <x:v>Recurrente</x:v>
      </x:c>
      <x:c r="I385" s="11" t="n">
        <x:v>1</x:v>
      </x:c>
      <x:c r="J385" s="18" t="n">
        <x:v>22400</x:v>
      </x:c>
      <x:c r="K385" s="16" t="n">
        <x:v>0.15</x:v>
      </x:c>
      <x:c r="L385" s="18" t="n">
        <x:v>12700</x:v>
      </x:c>
      <x:c r="M385" s="11" t="str">
        <x:v>Transferencia</x:v>
      </x:c>
      <x:c r="N385" s="11" t="n">
        <x:v>0</x:v>
      </x:c>
      <x:c r="O385" s="11" t="str">
        <x:v>No aplica</x:v>
      </x:c>
      <x:c r="P385" s="20" t="n">
        <x:v>5</x:v>
      </x:c>
      <x:c r="Q385" s="18" t="n">
        <x:f>I385*J385</x:f>
        <x:v>22400</x:v>
      </x:c>
      <x:c r="R385" s="18" t="n">
        <x:f>Q385*K385</x:f>
        <x:v>3360</x:v>
      </x:c>
      <x:c r="S385" s="18" t="n">
        <x:f>Q385-R385</x:f>
        <x:v>19040</x:v>
      </x:c>
      <x:c r="T385" s="18" t="n">
        <x:f>I385*L385</x:f>
        <x:v>12700</x:v>
      </x:c>
      <x:c r="U385" s="18" t="n">
        <x:f>S385-T385</x:f>
        <x:v>6340</x:v>
      </x:c>
    </x:row>
    <x:row r="386">
      <x:c r="A386" s="11" t="str">
        <x:v>V-0270</x:v>
      </x:c>
      <x:c r="B386" s="14" t="n">
        <x:v>46218</x:v>
      </x:c>
      <x:c r="C386" s="11" t="str">
        <x:v>Bogotá</x:v>
      </x:c>
      <x:c r="D386" s="11" t="str">
        <x:v>Web</x:v>
      </x:c>
      <x:c r="E386" s="11" t="str">
        <x:v>Bebidas</x:v>
      </x:c>
      <x:c r="F386" s="11" t="str">
        <x:v>Bebida fría</x:v>
      </x:c>
      <x:c r="G386" s="11" t="str">
        <x:v>C-0011</x:v>
      </x:c>
      <x:c r="H386" s="11" t="str">
        <x:v>Recurrente</x:v>
      </x:c>
      <x:c r="I386" s="11" t="n">
        <x:v>4</x:v>
      </x:c>
      <x:c r="J386" s="18" t="n">
        <x:v>7000</x:v>
      </x:c>
      <x:c r="K386" s="16" t="n">
        <x:v>0.1</x:v>
      </x:c>
      <x:c r="L386" s="18" t="n">
        <x:v>3700</x:v>
      </x:c>
      <x:c r="M386" s="11" t="str">
        <x:v>Transferencia</x:v>
      </x:c>
      <x:c r="N386" s="11" t="n">
        <x:v>43</x:v>
      </x:c>
      <x:c r="O386" s="11" t="str">
        <x:v>A tiempo</x:v>
      </x:c>
      <x:c r="P386" s="20" t="n">
        <x:v>3</x:v>
      </x:c>
      <x:c r="Q386" s="18" t="n">
        <x:f>I386*J386</x:f>
        <x:v>28000</x:v>
      </x:c>
      <x:c r="R386" s="18" t="n">
        <x:f>Q386*K386</x:f>
        <x:v>2800</x:v>
      </x:c>
      <x:c r="S386" s="18" t="n">
        <x:f>Q386-R386</x:f>
        <x:v>25200</x:v>
      </x:c>
      <x:c r="T386" s="18" t="n">
        <x:f>I386*L386</x:f>
        <x:v>14800</x:v>
      </x:c>
      <x:c r="U386" s="18" t="n">
        <x:f>S386-T386</x:f>
        <x:v>10400</x:v>
      </x:c>
    </x:row>
    <x:row r="387">
      <x:c r="A387" s="11" t="str">
        <x:v>V-0417</x:v>
      </x:c>
      <x:c r="B387" s="14" t="n">
        <x:v>46218</x:v>
      </x:c>
      <x:c r="C387" s="11" t="str">
        <x:v>Medellín</x:v>
      </x:c>
      <x:c r="D387" s="11" t="str">
        <x:v>Tienda</x:v>
      </x:c>
      <x:c r="E387" s="11" t="str">
        <x:v>Alimentos</x:v>
      </x:c>
      <x:c r="F387" s="11" t="str">
        <x:v>Snack saludable</x:v>
      </x:c>
      <x:c r="G387" s="11" t="str">
        <x:v>C-0058</x:v>
      </x:c>
      <x:c r="H387" s="11" t="str">
        <x:v>Recurrente</x:v>
      </x:c>
      <x:c r="I387" s="11" t="n">
        <x:v>6</x:v>
      </x:c>
      <x:c r="J387" s="18" t="n">
        <x:v>9500</x:v>
      </x:c>
      <x:c r="K387" s="16" t="n">
        <x:v>0</x:v>
      </x:c>
      <x:c r="L387" s="18" t="n">
        <x:v>5700</x:v>
      </x:c>
      <x:c r="M387" s="11" t="str">
        <x:v>Tarjeta</x:v>
      </x:c>
      <x:c r="N387" s="11" t="n">
        <x:v>0</x:v>
      </x:c>
      <x:c r="O387" s="11" t="str">
        <x:v>No aplica</x:v>
      </x:c>
      <x:c r="P387" s="20" t="n">
        <x:v>4</x:v>
      </x:c>
      <x:c r="Q387" s="18" t="n">
        <x:f>I387*J387</x:f>
        <x:v>57000</x:v>
      </x:c>
      <x:c r="R387" s="18" t="n">
        <x:f>Q387*K387</x:f>
        <x:v>0</x:v>
      </x:c>
      <x:c r="S387" s="18" t="n">
        <x:f>Q387-R387</x:f>
        <x:v>57000</x:v>
      </x:c>
      <x:c r="T387" s="18" t="n">
        <x:f>I387*L387</x:f>
        <x:v>34200</x:v>
      </x:c>
      <x:c r="U387" s="18" t="n">
        <x:f>S387-T387</x:f>
        <x:v>22800</x:v>
      </x:c>
    </x:row>
    <x:row r="388">
      <x:c r="A388" s="11" t="str">
        <x:v>V-0123</x:v>
      </x:c>
      <x:c r="B388" s="14" t="n">
        <x:v>46219</x:v>
      </x:c>
      <x:c r="C388" s="11" t="str">
        <x:v>Bogotá</x:v>
      </x:c>
      <x:c r="D388" s="11" t="str">
        <x:v>Tienda</x:v>
      </x:c>
      <x:c r="E388" s="11" t="str">
        <x:v>Alimentos</x:v>
      </x:c>
      <x:c r="F388" s="11" t="str">
        <x:v>Producto gourmet</x:v>
      </x:c>
      <x:c r="G388" s="11" t="str">
        <x:v>C-0049</x:v>
      </x:c>
      <x:c r="H388" s="11" t="str">
        <x:v>Nuevo</x:v>
      </x:c>
      <x:c r="I388" s="11" t="n">
        <x:v>2</x:v>
      </x:c>
      <x:c r="J388" s="18" t="n">
        <x:v>33600</x:v>
      </x:c>
      <x:c r="K388" s="16" t="n">
        <x:v>0.15</x:v>
      </x:c>
      <x:c r="L388" s="18" t="n">
        <x:v>21100</x:v>
      </x:c>
      <x:c r="M388" s="11" t="str">
        <x:v>Transferencia</x:v>
      </x:c>
      <x:c r="N388" s="11" t="n">
        <x:v>0</x:v>
      </x:c>
      <x:c r="O388" s="11" t="str">
        <x:v>No aplica</x:v>
      </x:c>
      <x:c r="P388" s="20" t="n">
        <x:v>4</x:v>
      </x:c>
      <x:c r="Q388" s="18" t="n">
        <x:f>I388*J388</x:f>
        <x:v>67200</x:v>
      </x:c>
      <x:c r="R388" s="18" t="n">
        <x:f>Q388*K388</x:f>
        <x:v>10080</x:v>
      </x:c>
      <x:c r="S388" s="18" t="n">
        <x:f>Q388-R388</x:f>
        <x:v>57120</x:v>
      </x:c>
      <x:c r="T388" s="18" t="n">
        <x:f>I388*L388</x:f>
        <x:v>42200</x:v>
      </x:c>
      <x:c r="U388" s="18" t="n">
        <x:f>S388-T388</x:f>
        <x:v>14920</x:v>
      </x:c>
    </x:row>
    <x:row r="389">
      <x:c r="A389" s="11" t="str">
        <x:v>V-0284</x:v>
      </x:c>
      <x:c r="B389" s="14" t="n">
        <x:v>46219</x:v>
      </x:c>
      <x:c r="C389" s="11" t="str">
        <x:v>Cali</x:v>
      </x:c>
      <x:c r="D389" s="11" t="str">
        <x:v>Web</x:v>
      </x:c>
      <x:c r="E389" s="11" t="str">
        <x:v>Hogar</x:v>
      </x:c>
      <x:c r="F389" s="11" t="str">
        <x:v>Accesorio hogar</x:v>
      </x:c>
      <x:c r="G389" s="11" t="str">
        <x:v>C-0120</x:v>
      </x:c>
      <x:c r="H389" s="11" t="str">
        <x:v>Recurrente</x:v>
      </x:c>
      <x:c r="I389" s="11" t="n">
        <x:v>5</x:v>
      </x:c>
      <x:c r="J389" s="18" t="n">
        <x:v>28300</x:v>
      </x:c>
      <x:c r="K389" s="16" t="n">
        <x:v>0</x:v>
      </x:c>
      <x:c r="L389" s="18" t="n">
        <x:v>18600</x:v>
      </x:c>
      <x:c r="M389" s="11" t="str">
        <x:v>Billetera digital</x:v>
      </x:c>
      <x:c r="N389" s="11" t="n">
        <x:v>55</x:v>
      </x:c>
      <x:c r="O389" s="11" t="str">
        <x:v>A tiempo</x:v>
      </x:c>
      <x:c r="P389" s="20" t="n">
        <x:v>4</x:v>
      </x:c>
      <x:c r="Q389" s="18" t="n">
        <x:f>I389*J389</x:f>
        <x:v>141500</x:v>
      </x:c>
      <x:c r="R389" s="18" t="n">
        <x:f>Q389*K389</x:f>
        <x:v>0</x:v>
      </x:c>
      <x:c r="S389" s="18" t="n">
        <x:f>Q389-R389</x:f>
        <x:v>141500</x:v>
      </x:c>
      <x:c r="T389" s="18" t="n">
        <x:f>I389*L389</x:f>
        <x:v>93000</x:v>
      </x:c>
      <x:c r="U389" s="18" t="n">
        <x:f>S389-T389</x:f>
        <x:v>48500</x:v>
      </x:c>
    </x:row>
    <x:row r="390">
      <x:c r="A390" s="11" t="str">
        <x:v>V-0291</x:v>
      </x:c>
      <x:c r="B390" s="14" t="n">
        <x:v>46219</x:v>
      </x:c>
      <x:c r="C390" s="11" t="str">
        <x:v>Ibagué</x:v>
      </x:c>
      <x:c r="D390" s="11" t="str">
        <x:v>Web</x:v>
      </x:c>
      <x:c r="E390" s="11" t="str">
        <x:v>Cuidado personal</x:v>
      </x:c>
      <x:c r="F390" s="11" t="str">
        <x:v>Accesorio personal</x:v>
      </x:c>
      <x:c r="G390" s="11" t="str">
        <x:v>C-0024</x:v>
      </x:c>
      <x:c r="H390" s="11" t="str">
        <x:v>Recurrente</x:v>
      </x:c>
      <x:c r="I390" s="11" t="n">
        <x:v>4</x:v>
      </x:c>
      <x:c r="J390" s="18" t="n">
        <x:v>18100</x:v>
      </x:c>
      <x:c r="K390" s="16" t="n">
        <x:v>0.2</x:v>
      </x:c>
      <x:c r="L390" s="18" t="n">
        <x:v>10300</x:v>
      </x:c>
      <x:c r="M390" s="11" t="str">
        <x:v>Transferencia</x:v>
      </x:c>
      <x:c r="N390" s="11" t="n">
        <x:v>43</x:v>
      </x:c>
      <x:c r="O390" s="11" t="str">
        <x:v>A tiempo</x:v>
      </x:c>
      <x:c r="P390" s="20" t="n">
        <x:v>5</x:v>
      </x:c>
      <x:c r="Q390" s="18" t="n">
        <x:f>I390*J390</x:f>
        <x:v>72400</x:v>
      </x:c>
      <x:c r="R390" s="18" t="n">
        <x:f>Q390*K390</x:f>
        <x:v>14480</x:v>
      </x:c>
      <x:c r="S390" s="18" t="n">
        <x:f>Q390-R390</x:f>
        <x:v>57920</x:v>
      </x:c>
      <x:c r="T390" s="18" t="n">
        <x:f>I390*L390</x:f>
        <x:v>41200</x:v>
      </x:c>
      <x:c r="U390" s="18" t="n">
        <x:f>S390-T390</x:f>
        <x:v>16720</x:v>
      </x:c>
    </x:row>
    <x:row r="391">
      <x:c r="A391" s="11" t="str">
        <x:v>V-0287</x:v>
      </x:c>
      <x:c r="B391" s="14" t="n">
        <x:v>46220</x:v>
      </x:c>
      <x:c r="C391" s="11" t="str">
        <x:v>Ibagué</x:v>
      </x:c>
      <x:c r="D391" s="11" t="str">
        <x:v>App</x:v>
      </x:c>
      <x:c r="E391" s="11" t="str">
        <x:v>Hogar</x:v>
      </x:c>
      <x:c r="F391" s="11" t="str">
        <x:v>Accesorio hogar</x:v>
      </x:c>
      <x:c r="G391" s="11" t="str">
        <x:v>C-0004</x:v>
      </x:c>
      <x:c r="H391" s="11" t="str">
        <x:v>Recurrente</x:v>
      </x:c>
      <x:c r="I391" s="11" t="n">
        <x:v>1</x:v>
      </x:c>
      <x:c r="J391" s="18" t="n">
        <x:v>28600</x:v>
      </x:c>
      <x:c r="K391" s="16" t="n">
        <x:v>0.05</x:v>
      </x:c>
      <x:c r="L391" s="18" t="n">
        <x:v>17500</x:v>
      </x:c>
      <x:c r="M391" s="11" t="str">
        <x:v>Transferencia</x:v>
      </x:c>
      <x:c r="N391" s="11" t="n">
        <x:v>37</x:v>
      </x:c>
      <x:c r="O391" s="11" t="str">
        <x:v>A tiempo</x:v>
      </x:c>
      <x:c r="P391" s="20" t="n">
        <x:v>5</x:v>
      </x:c>
      <x:c r="Q391" s="18" t="n">
        <x:f>I391*J391</x:f>
        <x:v>28600</x:v>
      </x:c>
      <x:c r="R391" s="18" t="n">
        <x:f>Q391*K391</x:f>
        <x:v>1430</x:v>
      </x:c>
      <x:c r="S391" s="18" t="n">
        <x:f>Q391-R391</x:f>
        <x:v>27170</x:v>
      </x:c>
      <x:c r="T391" s="18" t="n">
        <x:f>I391*L391</x:f>
        <x:v>17500</x:v>
      </x:c>
      <x:c r="U391" s="18" t="n">
        <x:f>S391-T391</x:f>
        <x:v>9670</x:v>
      </x:c>
    </x:row>
    <x:row r="392">
      <x:c r="A392" s="11" t="str">
        <x:v>V-0428</x:v>
      </x:c>
      <x:c r="B392" s="14" t="n">
        <x:v>46220</x:v>
      </x:c>
      <x:c r="C392" s="11" t="str">
        <x:v>Bogotá</x:v>
      </x:c>
      <x:c r="D392" s="11" t="str">
        <x:v>Tienda</x:v>
      </x:c>
      <x:c r="E392" s="11" t="str">
        <x:v>Hogar</x:v>
      </x:c>
      <x:c r="F392" s="11" t="str">
        <x:v>Accesorio hogar</x:v>
      </x:c>
      <x:c r="G392" s="11" t="str">
        <x:v>C-0118</x:v>
      </x:c>
      <x:c r="H392" s="11" t="str">
        <x:v>Recurrente</x:v>
      </x:c>
      <x:c r="I392" s="11" t="n">
        <x:v>4</x:v>
      </x:c>
      <x:c r="J392" s="18" t="n">
        <x:v>28100</x:v>
      </x:c>
      <x:c r="K392" s="16" t="n">
        <x:v>0.15</x:v>
      </x:c>
      <x:c r="L392" s="18" t="n">
        <x:v>18400</x:v>
      </x:c>
      <x:c r="M392" s="11" t="str">
        <x:v>Transferencia</x:v>
      </x:c>
      <x:c r="N392" s="11" t="n">
        <x:v>0</x:v>
      </x:c>
      <x:c r="O392" s="11" t="str">
        <x:v>No aplica</x:v>
      </x:c>
      <x:c r="P392" s="20" t="n">
        <x:v>4</x:v>
      </x:c>
      <x:c r="Q392" s="18" t="n">
        <x:f>I392*J392</x:f>
        <x:v>112400</x:v>
      </x:c>
      <x:c r="R392" s="18" t="n">
        <x:f>Q392*K392</x:f>
        <x:v>16860</x:v>
      </x:c>
      <x:c r="S392" s="18" t="n">
        <x:f>Q392-R392</x:f>
        <x:v>95540</x:v>
      </x:c>
      <x:c r="T392" s="18" t="n">
        <x:f>I392*L392</x:f>
        <x:v>73600</x:v>
      </x:c>
      <x:c r="U392" s="18" t="n">
        <x:f>S392-T392</x:f>
        <x:v>21940</x:v>
      </x:c>
    </x:row>
    <x:row r="393">
      <x:c r="A393" s="11" t="str">
        <x:v>V-0432</x:v>
      </x:c>
      <x:c r="B393" s="14" t="n">
        <x:v>46220</x:v>
      </x:c>
      <x:c r="C393" s="11" t="str">
        <x:v>Neiva</x:v>
      </x:c>
      <x:c r="D393" s="11" t="str">
        <x:v>Tienda</x:v>
      </x:c>
      <x:c r="E393" s="11" t="str">
        <x:v>Cuidado personal</x:v>
      </x:c>
      <x:c r="F393" s="11" t="str">
        <x:v>Producto bienestar</x:v>
      </x:c>
      <x:c r="G393" s="11" t="str">
        <x:v>C-0115</x:v>
      </x:c>
      <x:c r="H393" s="11" t="str">
        <x:v>Recurrente</x:v>
      </x:c>
      <x:c r="I393" s="11" t="n">
        <x:v>4</x:v>
      </x:c>
      <x:c r="J393" s="18" t="n">
        <x:v>34500</x:v>
      </x:c>
      <x:c r="K393" s="16" t="n">
        <x:v>0.15</x:v>
      </x:c>
      <x:c r="L393" s="18" t="n">
        <x:v>20200</x:v>
      </x:c>
      <x:c r="M393" s="11" t="str">
        <x:v>Efectivo</x:v>
      </x:c>
      <x:c r="N393" s="11" t="n">
        <x:v>0</x:v>
      </x:c>
      <x:c r="O393" s="11" t="str">
        <x:v>No aplica</x:v>
      </x:c>
      <x:c r="P393" s="20" t="n">
        <x:v>5</x:v>
      </x:c>
      <x:c r="Q393" s="18" t="n">
        <x:f>I393*J393</x:f>
        <x:v>138000</x:v>
      </x:c>
      <x:c r="R393" s="18" t="n">
        <x:f>Q393*K393</x:f>
        <x:v>20700</x:v>
      </x:c>
      <x:c r="S393" s="18" t="n">
        <x:f>Q393-R393</x:f>
        <x:v>117300</x:v>
      </x:c>
      <x:c r="T393" s="18" t="n">
        <x:f>I393*L393</x:f>
        <x:v>80800</x:v>
      </x:c>
      <x:c r="U393" s="18" t="n">
        <x:f>S393-T393</x:f>
        <x:v>36500</x:v>
      </x:c>
    </x:row>
    <x:row r="394">
      <x:c r="A394" s="11" t="str">
        <x:v>V-0032</x:v>
      </x:c>
      <x:c r="B394" s="14" t="n">
        <x:v>46221</x:v>
      </x:c>
      <x:c r="C394" s="11" t="str">
        <x:v>Medellín</x:v>
      </x:c>
      <x:c r="D394" s="11" t="str">
        <x:v>App</x:v>
      </x:c>
      <x:c r="E394" s="11" t="str">
        <x:v>Bebidas</x:v>
      </x:c>
      <x:c r="F394" s="11" t="str">
        <x:v>Bebida premium</x:v>
      </x:c>
      <x:c r="G394" s="11" t="str">
        <x:v>C-0028</x:v>
      </x:c>
      <x:c r="H394" s="11" t="str">
        <x:v>Nuevo</x:v>
      </x:c>
      <x:c r="I394" s="11" t="n">
        <x:v>5</x:v>
      </x:c>
      <x:c r="J394" s="18" t="n">
        <x:v>13800</x:v>
      </x:c>
      <x:c r="K394" s="16" t="n">
        <x:v>0.2</x:v>
      </x:c>
      <x:c r="L394" s="18" t="n">
        <x:v>7700</x:v>
      </x:c>
      <x:c r="M394" s="11" t="str">
        <x:v>Tarjeta</x:v>
      </x:c>
      <x:c r="N394" s="11" t="n">
        <x:v>50</x:v>
      </x:c>
      <x:c r="O394" s="11" t="str">
        <x:v>A tiempo</x:v>
      </x:c>
      <x:c r="P394" s="20" t="n">
        <x:v>5</x:v>
      </x:c>
      <x:c r="Q394" s="18" t="n">
        <x:f>I394*J394</x:f>
        <x:v>69000</x:v>
      </x:c>
      <x:c r="R394" s="18" t="n">
        <x:f>Q394*K394</x:f>
        <x:v>13800</x:v>
      </x:c>
      <x:c r="S394" s="18" t="n">
        <x:f>Q394-R394</x:f>
        <x:v>55200</x:v>
      </x:c>
      <x:c r="T394" s="18" t="n">
        <x:f>I394*L394</x:f>
        <x:v>38500</x:v>
      </x:c>
      <x:c r="U394" s="18" t="n">
        <x:f>S394-T394</x:f>
        <x:v>16700</x:v>
      </x:c>
    </x:row>
    <x:row r="395">
      <x:c r="A395" s="11" t="str">
        <x:v>V-0080</x:v>
      </x:c>
      <x:c r="B395" s="14" t="n">
        <x:v>46221</x:v>
      </x:c>
      <x:c r="C395" s="11" t="str">
        <x:v>Ibagué</x:v>
      </x:c>
      <x:c r="D395" s="11" t="str">
        <x:v>Web</x:v>
      </x:c>
      <x:c r="E395" s="11" t="str">
        <x:v>Bebidas</x:v>
      </x:c>
      <x:c r="F395" s="11" t="str">
        <x:v>Bebida caliente</x:v>
      </x:c>
      <x:c r="G395" s="11" t="str">
        <x:v>C-0072</x:v>
      </x:c>
      <x:c r="H395" s="11" t="str">
        <x:v>Nuevo</x:v>
      </x:c>
      <x:c r="I395" s="11" t="n">
        <x:v>3</x:v>
      </x:c>
      <x:c r="J395" s="18" t="n">
        <x:v>7100</x:v>
      </x:c>
      <x:c r="K395" s="16" t="n">
        <x:v>0.1</x:v>
      </x:c>
      <x:c r="L395" s="18" t="n">
        <x:v>3400</x:v>
      </x:c>
      <x:c r="M395" s="11" t="str">
        <x:v>Billetera digital</x:v>
      </x:c>
      <x:c r="N395" s="11" t="n">
        <x:v>21</x:v>
      </x:c>
      <x:c r="O395" s="11" t="str">
        <x:v>A tiempo</x:v>
      </x:c>
      <x:c r="P395" s="20" t="n">
        <x:v>5</x:v>
      </x:c>
      <x:c r="Q395" s="18" t="n">
        <x:f>I395*J395</x:f>
        <x:v>21300</x:v>
      </x:c>
      <x:c r="R395" s="18" t="n">
        <x:f>Q395*K395</x:f>
        <x:v>2130</x:v>
      </x:c>
      <x:c r="S395" s="18" t="n">
        <x:f>Q395-R395</x:f>
        <x:v>19170</x:v>
      </x:c>
      <x:c r="T395" s="18" t="n">
        <x:f>I395*L395</x:f>
        <x:v>10200</x:v>
      </x:c>
      <x:c r="U395" s="18" t="n">
        <x:f>S395-T395</x:f>
        <x:v>8970</x:v>
      </x:c>
    </x:row>
    <x:row r="396">
      <x:c r="A396" s="11" t="str">
        <x:v>V-0331</x:v>
      </x:c>
      <x:c r="B396" s="14" t="n">
        <x:v>46222</x:v>
      </x:c>
      <x:c r="C396" s="11" t="str">
        <x:v>Medellín</x:v>
      </x:c>
      <x:c r="D396" s="11" t="str">
        <x:v>App</x:v>
      </x:c>
      <x:c r="E396" s="11" t="str">
        <x:v>Cuidado personal</x:v>
      </x:c>
      <x:c r="F396" s="11" t="str">
        <x:v>Accesorio personal</x:v>
      </x:c>
      <x:c r="G396" s="11" t="str">
        <x:v>C-0097</x:v>
      </x:c>
      <x:c r="H396" s="11" t="str">
        <x:v>Recurrente</x:v>
      </x:c>
      <x:c r="I396" s="11" t="n">
        <x:v>1</x:v>
      </x:c>
      <x:c r="J396" s="18" t="n">
        <x:v>16400</x:v>
      </x:c>
      <x:c r="K396" s="16" t="n">
        <x:v>0.05</x:v>
      </x:c>
      <x:c r="L396" s="18" t="n">
        <x:v>8900</x:v>
      </x:c>
      <x:c r="M396" s="11" t="str">
        <x:v>Transferencia</x:v>
      </x:c>
      <x:c r="N396" s="11" t="n">
        <x:v>51</x:v>
      </x:c>
      <x:c r="O396" s="11" t="str">
        <x:v>A tiempo</x:v>
      </x:c>
      <x:c r="P396" s="20" t="n">
        <x:v>4</x:v>
      </x:c>
      <x:c r="Q396" s="18" t="n">
        <x:f>I396*J396</x:f>
        <x:v>16400</x:v>
      </x:c>
      <x:c r="R396" s="18" t="n">
        <x:f>Q396*K396</x:f>
        <x:v>820</x:v>
      </x:c>
      <x:c r="S396" s="18" t="n">
        <x:f>Q396-R396</x:f>
        <x:v>15580</x:v>
      </x:c>
      <x:c r="T396" s="18" t="n">
        <x:f>I396*L396</x:f>
        <x:v>8900</x:v>
      </x:c>
      <x:c r="U396" s="18" t="n">
        <x:f>S396-T396</x:f>
        <x:v>6680</x:v>
      </x:c>
    </x:row>
    <x:row r="397">
      <x:c r="A397" s="11" t="str">
        <x:v>V-0058</x:v>
      </x:c>
      <x:c r="B397" s="14" t="n">
        <x:v>46223</x:v>
      </x:c>
      <x:c r="C397" s="11" t="str">
        <x:v>Bogotá</x:v>
      </x:c>
      <x:c r="D397" s="11" t="str">
        <x:v>Tienda</x:v>
      </x:c>
      <x:c r="E397" s="11" t="str">
        <x:v>Hogar</x:v>
      </x:c>
      <x:c r="F397" s="11" t="str">
        <x:v>Accesorio hogar</x:v>
      </x:c>
      <x:c r="G397" s="11" t="str">
        <x:v>C-0036</x:v>
      </x:c>
      <x:c r="H397" s="11" t="str">
        <x:v>Recurrente</x:v>
      </x:c>
      <x:c r="I397" s="11" t="n">
        <x:v>1</x:v>
      </x:c>
      <x:c r="J397" s="18" t="n">
        <x:v>28900</x:v>
      </x:c>
      <x:c r="K397" s="16" t="n">
        <x:v>0</x:v>
      </x:c>
      <x:c r="L397" s="18" t="n">
        <x:v>17500</x:v>
      </x:c>
      <x:c r="M397" s="11" t="str">
        <x:v>Transferencia</x:v>
      </x:c>
      <x:c r="N397" s="11" t="n">
        <x:v>0</x:v>
      </x:c>
      <x:c r="O397" s="11" t="str">
        <x:v>No aplica</x:v>
      </x:c>
      <x:c r="P397" s="20" t="n">
        <x:v>5</x:v>
      </x:c>
      <x:c r="Q397" s="18" t="n">
        <x:f>I397*J397</x:f>
        <x:v>28900</x:v>
      </x:c>
      <x:c r="R397" s="18" t="n">
        <x:f>Q397*K397</x:f>
        <x:v>0</x:v>
      </x:c>
      <x:c r="S397" s="18" t="n">
        <x:f>Q397-R397</x:f>
        <x:v>28900</x:v>
      </x:c>
      <x:c r="T397" s="18" t="n">
        <x:f>I397*L397</x:f>
        <x:v>17500</x:v>
      </x:c>
      <x:c r="U397" s="18" t="n">
        <x:f>S397-T397</x:f>
        <x:v>11400</x:v>
      </x:c>
    </x:row>
    <x:row r="398">
      <x:c r="A398" s="11" t="str">
        <x:v>V-0098</x:v>
      </x:c>
      <x:c r="B398" s="14" t="n">
        <x:v>46223</x:v>
      </x:c>
      <x:c r="C398" s="11" t="str">
        <x:v>Florencia</x:v>
      </x:c>
      <x:c r="D398" s="11" t="str">
        <x:v>Tienda</x:v>
      </x:c>
      <x:c r="E398" s="11" t="str">
        <x:v>Cuidado personal</x:v>
      </x:c>
      <x:c r="F398" s="11" t="str">
        <x:v>Producto bienestar</x:v>
      </x:c>
      <x:c r="G398" s="11" t="str">
        <x:v>C-0023</x:v>
      </x:c>
      <x:c r="H398" s="11" t="str">
        <x:v>Nuevo</x:v>
      </x:c>
      <x:c r="I398" s="11" t="n">
        <x:v>5</x:v>
      </x:c>
      <x:c r="J398" s="18" t="n">
        <x:v>36300</x:v>
      </x:c>
      <x:c r="K398" s="16" t="n">
        <x:v>0.1</x:v>
      </x:c>
      <x:c r="L398" s="18" t="n">
        <x:v>21300</x:v>
      </x:c>
      <x:c r="M398" s="11" t="str">
        <x:v>Efectivo</x:v>
      </x:c>
      <x:c r="N398" s="11" t="n">
        <x:v>0</x:v>
      </x:c>
      <x:c r="O398" s="11" t="str">
        <x:v>No aplica</x:v>
      </x:c>
      <x:c r="P398" s="20" t="n">
        <x:v>4</x:v>
      </x:c>
      <x:c r="Q398" s="18" t="n">
        <x:f>I398*J398</x:f>
        <x:v>181500</x:v>
      </x:c>
      <x:c r="R398" s="18" t="n">
        <x:f>Q398*K398</x:f>
        <x:v>18150</x:v>
      </x:c>
      <x:c r="S398" s="18" t="n">
        <x:f>Q398-R398</x:f>
        <x:v>163350</x:v>
      </x:c>
      <x:c r="T398" s="18" t="n">
        <x:f>I398*L398</x:f>
        <x:v>106500</x:v>
      </x:c>
      <x:c r="U398" s="18" t="n">
        <x:f>S398-T398</x:f>
        <x:v>56850</x:v>
      </x:c>
    </x:row>
    <x:row r="399">
      <x:c r="A399" s="11" t="str">
        <x:v>V-0373</x:v>
      </x:c>
      <x:c r="B399" s="14" t="n">
        <x:v>46223</x:v>
      </x:c>
      <x:c r="C399" s="11" t="str">
        <x:v>Ibagué</x:v>
      </x:c>
      <x:c r="D399" s="11" t="str">
        <x:v>App</x:v>
      </x:c>
      <x:c r="E399" s="11" t="str">
        <x:v>Alimentos</x:v>
      </x:c>
      <x:c r="F399" s="11" t="str">
        <x:v>Producto gourmet</x:v>
      </x:c>
      <x:c r="G399" s="11" t="str">
        <x:v>C-0055</x:v>
      </x:c>
      <x:c r="H399" s="11" t="str">
        <x:v>Recurrente</x:v>
      </x:c>
      <x:c r="I399" s="11" t="n">
        <x:v>2</x:v>
      </x:c>
      <x:c r="J399" s="18" t="n">
        <x:v>31600</x:v>
      </x:c>
      <x:c r="K399" s="16" t="n">
        <x:v>0.05</x:v>
      </x:c>
      <x:c r="L399" s="18" t="n">
        <x:v>19600</x:v>
      </x:c>
      <x:c r="M399" s="11" t="str">
        <x:v>Transferencia</x:v>
      </x:c>
      <x:c r="N399" s="11" t="n">
        <x:v>53</x:v>
      </x:c>
      <x:c r="O399" s="11" t="str">
        <x:v>A tiempo</x:v>
      </x:c>
      <x:c r="P399" s="20" t="n">
        <x:v>5</x:v>
      </x:c>
      <x:c r="Q399" s="18" t="n">
        <x:f>I399*J399</x:f>
        <x:v>63200</x:v>
      </x:c>
      <x:c r="R399" s="18" t="n">
        <x:f>Q399*K399</x:f>
        <x:v>3160</x:v>
      </x:c>
      <x:c r="S399" s="18" t="n">
        <x:f>Q399-R399</x:f>
        <x:v>60040</x:v>
      </x:c>
      <x:c r="T399" s="18" t="n">
        <x:f>I399*L399</x:f>
        <x:v>39200</x:v>
      </x:c>
      <x:c r="U399" s="18" t="n">
        <x:f>S399-T399</x:f>
        <x:v>20840</x:v>
      </x:c>
    </x:row>
    <x:row r="400">
      <x:c r="A400" s="11" t="str">
        <x:v>V-0317</x:v>
      </x:c>
      <x:c r="B400" s="14" t="n">
        <x:v>46224</x:v>
      </x:c>
      <x:c r="C400" s="11" t="str">
        <x:v>Ibagué</x:v>
      </x:c>
      <x:c r="D400" s="11" t="str">
        <x:v>Tienda</x:v>
      </x:c>
      <x:c r="E400" s="11" t="str">
        <x:v>Hogar</x:v>
      </x:c>
      <x:c r="F400" s="11" t="str">
        <x:v>Organizador</x:v>
      </x:c>
      <x:c r="G400" s="11" t="str">
        <x:v>C-0036</x:v>
      </x:c>
      <x:c r="H400" s="11" t="str">
        <x:v>Recurrente</x:v>
      </x:c>
      <x:c r="I400" s="11" t="n">
        <x:v>1</x:v>
      </x:c>
      <x:c r="J400" s="18" t="n">
        <x:v>33400</x:v>
      </x:c>
      <x:c r="K400" s="16" t="n">
        <x:v>0.1</x:v>
      </x:c>
      <x:c r="L400" s="18" t="n">
        <x:v>19500</x:v>
      </x:c>
      <x:c r="M400" s="11" t="str">
        <x:v>Efectivo</x:v>
      </x:c>
      <x:c r="N400" s="11" t="n">
        <x:v>0</x:v>
      </x:c>
      <x:c r="O400" s="11" t="str">
        <x:v>No aplica</x:v>
      </x:c>
      <x:c r="P400" s="20" t="n">
        <x:v>5</x:v>
      </x:c>
      <x:c r="Q400" s="18" t="n">
        <x:f>I400*J400</x:f>
        <x:v>33400</x:v>
      </x:c>
      <x:c r="R400" s="18" t="n">
        <x:f>Q400*K400</x:f>
        <x:v>3340</x:v>
      </x:c>
      <x:c r="S400" s="18" t="n">
        <x:f>Q400-R400</x:f>
        <x:v>30060</x:v>
      </x:c>
      <x:c r="T400" s="18" t="n">
        <x:f>I400*L400</x:f>
        <x:v>19500</x:v>
      </x:c>
      <x:c r="U400" s="18" t="n">
        <x:f>S400-T400</x:f>
        <x:v>10560</x:v>
      </x:c>
    </x:row>
    <x:row r="401">
      <x:c r="A401" s="11" t="str">
        <x:v>V-0431</x:v>
      </x:c>
      <x:c r="B401" s="14" t="n">
        <x:v>46224</x:v>
      </x:c>
      <x:c r="C401" s="11" t="str">
        <x:v>Neiva</x:v>
      </x:c>
      <x:c r="D401" s="11" t="str">
        <x:v>Tienda</x:v>
      </x:c>
      <x:c r="E401" s="11" t="str">
        <x:v>Cuidado personal</x:v>
      </x:c>
      <x:c r="F401" s="11" t="str">
        <x:v>Kit cuidado</x:v>
      </x:c>
      <x:c r="G401" s="11" t="str">
        <x:v>C-0070</x:v>
      </x:c>
      <x:c r="H401" s="11" t="str">
        <x:v>Recurrente</x:v>
      </x:c>
      <x:c r="I401" s="11" t="n">
        <x:v>1</x:v>
      </x:c>
      <x:c r="J401" s="18" t="n">
        <x:v>42600</x:v>
      </x:c>
      <x:c r="K401" s="16" t="n">
        <x:v>0</x:v>
      </x:c>
      <x:c r="L401" s="18" t="n">
        <x:v>26200</x:v>
      </x:c>
      <x:c r="M401" s="11" t="str">
        <x:v>Efectivo</x:v>
      </x:c>
      <x:c r="N401" s="11" t="n">
        <x:v>0</x:v>
      </x:c>
      <x:c r="O401" s="11" t="str">
        <x:v>No aplica</x:v>
      </x:c>
      <x:c r="P401" s="20" t="n">
        <x:v>4</x:v>
      </x:c>
      <x:c r="Q401" s="18" t="n">
        <x:f>I401*J401</x:f>
        <x:v>42600</x:v>
      </x:c>
      <x:c r="R401" s="18" t="n">
        <x:f>Q401*K401</x:f>
        <x:v>0</x:v>
      </x:c>
      <x:c r="S401" s="18" t="n">
        <x:f>Q401-R401</x:f>
        <x:v>42600</x:v>
      </x:c>
      <x:c r="T401" s="18" t="n">
        <x:f>I401*L401</x:f>
        <x:v>26200</x:v>
      </x:c>
      <x:c r="U401" s="18" t="n">
        <x:f>S401-T401</x:f>
        <x:v>16400</x:v>
      </x:c>
    </x:row>
    <x:row r="402">
      <x:c r="A402" s="11" t="str">
        <x:v>V-0037</x:v>
      </x:c>
      <x:c r="B402" s="14" t="n">
        <x:v>46225</x:v>
      </x:c>
      <x:c r="C402" s="11" t="str">
        <x:v>Bogotá</x:v>
      </x:c>
      <x:c r="D402" s="11" t="str">
        <x:v>Web</x:v>
      </x:c>
      <x:c r="E402" s="11" t="str">
        <x:v>Bebidas</x:v>
      </x:c>
      <x:c r="F402" s="11" t="str">
        <x:v>Bebida premium</x:v>
      </x:c>
      <x:c r="G402" s="11" t="str">
        <x:v>C-0109</x:v>
      </x:c>
      <x:c r="H402" s="11" t="str">
        <x:v>Nuevo</x:v>
      </x:c>
      <x:c r="I402" s="11" t="n">
        <x:v>2</x:v>
      </x:c>
      <x:c r="J402" s="18" t="n">
        <x:v>14500</x:v>
      </x:c>
      <x:c r="K402" s="16" t="n">
        <x:v>0.1</x:v>
      </x:c>
      <x:c r="L402" s="18" t="n">
        <x:v>8400</x:v>
      </x:c>
      <x:c r="M402" s="11" t="str">
        <x:v>Transferencia</x:v>
      </x:c>
      <x:c r="N402" s="11" t="n">
        <x:v>36</x:v>
      </x:c>
      <x:c r="O402" s="11" t="str">
        <x:v>A tiempo</x:v>
      </x:c>
      <x:c r="P402" s="20" t="n">
        <x:v>2</x:v>
      </x:c>
      <x:c r="Q402" s="18" t="n">
        <x:f>I402*J402</x:f>
        <x:v>29000</x:v>
      </x:c>
      <x:c r="R402" s="18" t="n">
        <x:f>Q402*K402</x:f>
        <x:v>2900</x:v>
      </x:c>
      <x:c r="S402" s="18" t="n">
        <x:f>Q402-R402</x:f>
        <x:v>26100</x:v>
      </x:c>
      <x:c r="T402" s="18" t="n">
        <x:f>I402*L402</x:f>
        <x:v>16800</x:v>
      </x:c>
      <x:c r="U402" s="18" t="n">
        <x:f>S402-T402</x:f>
        <x:v>9300</x:v>
      </x:c>
    </x:row>
    <x:row r="403">
      <x:c r="A403" s="11" t="str">
        <x:v>V-0265</x:v>
      </x:c>
      <x:c r="B403" s="14" t="n">
        <x:v>46225</x:v>
      </x:c>
      <x:c r="C403" s="11" t="str">
        <x:v>Bogotá</x:v>
      </x:c>
      <x:c r="D403" s="11" t="str">
        <x:v>App</x:v>
      </x:c>
      <x:c r="E403" s="11" t="str">
        <x:v>Hogar</x:v>
      </x:c>
      <x:c r="F403" s="11" t="str">
        <x:v>Accesorio hogar</x:v>
      </x:c>
      <x:c r="G403" s="11" t="str">
        <x:v>C-0007</x:v>
      </x:c>
      <x:c r="H403" s="11" t="str">
        <x:v>Recurrente</x:v>
      </x:c>
      <x:c r="I403" s="11" t="n">
        <x:v>3</x:v>
      </x:c>
      <x:c r="J403" s="18" t="n">
        <x:v>27500</x:v>
      </x:c>
      <x:c r="K403" s="16" t="n">
        <x:v>0.1</x:v>
      </x:c>
      <x:c r="L403" s="18" t="n">
        <x:v>17300</x:v>
      </x:c>
      <x:c r="M403" s="11" t="str">
        <x:v>Billetera digital</x:v>
      </x:c>
      <x:c r="N403" s="11" t="n">
        <x:v>42</x:v>
      </x:c>
      <x:c r="O403" s="11" t="str">
        <x:v>A tiempo</x:v>
      </x:c>
      <x:c r="P403" s="20" t="n">
        <x:v>4</x:v>
      </x:c>
      <x:c r="Q403" s="18" t="n">
        <x:f>I403*J403</x:f>
        <x:v>82500</x:v>
      </x:c>
      <x:c r="R403" s="18" t="n">
        <x:f>Q403*K403</x:f>
        <x:v>8250</x:v>
      </x:c>
      <x:c r="S403" s="18" t="n">
        <x:f>Q403-R403</x:f>
        <x:v>74250</x:v>
      </x:c>
      <x:c r="T403" s="18" t="n">
        <x:f>I403*L403</x:f>
        <x:v>51900</x:v>
      </x:c>
      <x:c r="U403" s="18" t="n">
        <x:f>S403-T403</x:f>
        <x:v>22350</x:v>
      </x:c>
    </x:row>
    <x:row r="404">
      <x:c r="A404" s="11" t="str">
        <x:v>V-0415</x:v>
      </x:c>
      <x:c r="B404" s="14" t="n">
        <x:v>46225</x:v>
      </x:c>
      <x:c r="C404" s="11" t="str">
        <x:v>Neiva</x:v>
      </x:c>
      <x:c r="D404" s="11" t="str">
        <x:v>Tienda</x:v>
      </x:c>
      <x:c r="E404" s="11" t="str">
        <x:v>Alimentos</x:v>
      </x:c>
      <x:c r="F404" s="11" t="str">
        <x:v>Combo almuerzo</x:v>
      </x:c>
      <x:c r="G404" s="11" t="str">
        <x:v>C-0033</x:v>
      </x:c>
      <x:c r="H404" s="11" t="str">
        <x:v>Recurrente</x:v>
      </x:c>
      <x:c r="I404" s="11" t="n">
        <x:v>1</x:v>
      </x:c>
      <x:c r="J404" s="18" t="n">
        <x:v>20700</x:v>
      </x:c>
      <x:c r="K404" s="16" t="n">
        <x:v>0</x:v>
      </x:c>
      <x:c r="L404" s="18" t="n">
        <x:v>12400</x:v>
      </x:c>
      <x:c r="M404" s="11" t="str">
        <x:v>Transferencia</x:v>
      </x:c>
      <x:c r="N404" s="11" t="n">
        <x:v>0</x:v>
      </x:c>
      <x:c r="O404" s="11" t="str">
        <x:v>No aplica</x:v>
      </x:c>
      <x:c r="P404" s="20" t="n">
        <x:v>4</x:v>
      </x:c>
      <x:c r="Q404" s="18" t="n">
        <x:f>I404*J404</x:f>
        <x:v>20700</x:v>
      </x:c>
      <x:c r="R404" s="18" t="n">
        <x:f>Q404*K404</x:f>
        <x:v>0</x:v>
      </x:c>
      <x:c r="S404" s="18" t="n">
        <x:f>Q404-R404</x:f>
        <x:v>20700</x:v>
      </x:c>
      <x:c r="T404" s="18" t="n">
        <x:f>I404*L404</x:f>
        <x:v>12400</x:v>
      </x:c>
      <x:c r="U404" s="18" t="n">
        <x:f>S404-T404</x:f>
        <x:v>8300</x:v>
      </x:c>
    </x:row>
    <x:row r="405">
      <x:c r="A405" s="11" t="str">
        <x:v>V-0167</x:v>
      </x:c>
      <x:c r="B405" s="14" t="n">
        <x:v>46226</x:v>
      </x:c>
      <x:c r="C405" s="11" t="str">
        <x:v>Cali</x:v>
      </x:c>
      <x:c r="D405" s="11" t="str">
        <x:v>Web</x:v>
      </x:c>
      <x:c r="E405" s="11" t="str">
        <x:v>Bebidas</x:v>
      </x:c>
      <x:c r="F405" s="11" t="str">
        <x:v>Bebida premium</x:v>
      </x:c>
      <x:c r="G405" s="11" t="str">
        <x:v>C-0056</x:v>
      </x:c>
      <x:c r="H405" s="11" t="str">
        <x:v>Recurrente</x:v>
      </x:c>
      <x:c r="I405" s="11" t="n">
        <x:v>2</x:v>
      </x:c>
      <x:c r="J405" s="18" t="n">
        <x:v>15300</x:v>
      </x:c>
      <x:c r="K405" s="16" t="n">
        <x:v>0.05</x:v>
      </x:c>
      <x:c r="L405" s="18" t="n">
        <x:v>9000</x:v>
      </x:c>
      <x:c r="M405" s="11" t="str">
        <x:v>Transferencia</x:v>
      </x:c>
      <x:c r="N405" s="11" t="n">
        <x:v>54</x:v>
      </x:c>
      <x:c r="O405" s="11" t="str">
        <x:v>A tiempo</x:v>
      </x:c>
      <x:c r="P405" s="20" t="n">
        <x:v>2</x:v>
      </x:c>
      <x:c r="Q405" s="18" t="n">
        <x:f>I405*J405</x:f>
        <x:v>30600</x:v>
      </x:c>
      <x:c r="R405" s="18" t="n">
        <x:f>Q405*K405</x:f>
        <x:v>1530</x:v>
      </x:c>
      <x:c r="S405" s="18" t="n">
        <x:f>Q405-R405</x:f>
        <x:v>29070</x:v>
      </x:c>
      <x:c r="T405" s="18" t="n">
        <x:f>I405*L405</x:f>
        <x:v>18000</x:v>
      </x:c>
      <x:c r="U405" s="18" t="n">
        <x:f>S405-T405</x:f>
        <x:v>11070</x:v>
      </x:c>
    </x:row>
    <x:row r="406">
      <x:c r="A406" s="11" t="str">
        <x:v>V-0308</x:v>
      </x:c>
      <x:c r="B406" s="14" t="n">
        <x:v>46226</x:v>
      </x:c>
      <x:c r="C406" s="11" t="str">
        <x:v>Florencia</x:v>
      </x:c>
      <x:c r="D406" s="11" t="str">
        <x:v>App</x:v>
      </x:c>
      <x:c r="E406" s="11" t="str">
        <x:v>Cuidado personal</x:v>
      </x:c>
      <x:c r="F406" s="11" t="str">
        <x:v>Producto bienestar</x:v>
      </x:c>
      <x:c r="G406" s="11" t="str">
        <x:v>C-0022</x:v>
      </x:c>
      <x:c r="H406" s="11" t="str">
        <x:v>Nuevo</x:v>
      </x:c>
      <x:c r="I406" s="11" t="n">
        <x:v>1</x:v>
      </x:c>
      <x:c r="J406" s="18" t="n">
        <x:v>30100</x:v>
      </x:c>
      <x:c r="K406" s="16" t="n">
        <x:v>0.15</x:v>
      </x:c>
      <x:c r="L406" s="18" t="n">
        <x:v>18400</x:v>
      </x:c>
      <x:c r="M406" s="11" t="str">
        <x:v>Transferencia</x:v>
      </x:c>
      <x:c r="N406" s="11" t="n">
        <x:v>59</x:v>
      </x:c>
      <x:c r="O406" s="11" t="str">
        <x:v>A tiempo</x:v>
      </x:c>
      <x:c r="P406" s="20" t="n">
        <x:v>3</x:v>
      </x:c>
      <x:c r="Q406" s="18" t="n">
        <x:f>I406*J406</x:f>
        <x:v>30100</x:v>
      </x:c>
      <x:c r="R406" s="18" t="n">
        <x:f>Q406*K406</x:f>
        <x:v>4515</x:v>
      </x:c>
      <x:c r="S406" s="18" t="n">
        <x:f>Q406-R406</x:f>
        <x:v>25585</x:v>
      </x:c>
      <x:c r="T406" s="18" t="n">
        <x:f>I406*L406</x:f>
        <x:v>18400</x:v>
      </x:c>
      <x:c r="U406" s="18" t="n">
        <x:f>S406-T406</x:f>
        <x:v>7185</x:v>
      </x:c>
    </x:row>
    <x:row r="407">
      <x:c r="A407" s="11" t="str">
        <x:v>V-0241</x:v>
      </x:c>
      <x:c r="B407" s="14" t="n">
        <x:v>46227</x:v>
      </x:c>
      <x:c r="C407" s="11" t="str">
        <x:v>Medellín</x:v>
      </x:c>
      <x:c r="D407" s="11" t="str">
        <x:v>App</x:v>
      </x:c>
      <x:c r="E407" s="11" t="str">
        <x:v>Hogar</x:v>
      </x:c>
      <x:c r="F407" s="11" t="str">
        <x:v>Accesorio hogar</x:v>
      </x:c>
      <x:c r="G407" s="11" t="str">
        <x:v>C-0083</x:v>
      </x:c>
      <x:c r="H407" s="11" t="str">
        <x:v>Recurrente</x:v>
      </x:c>
      <x:c r="I407" s="11" t="n">
        <x:v>3</x:v>
      </x:c>
      <x:c r="J407" s="18" t="n">
        <x:v>31100</x:v>
      </x:c>
      <x:c r="K407" s="16" t="n">
        <x:v>0</x:v>
      </x:c>
      <x:c r="L407" s="18" t="n">
        <x:v>20300</x:v>
      </x:c>
      <x:c r="M407" s="11" t="str">
        <x:v>Tarjeta</x:v>
      </x:c>
      <x:c r="N407" s="11" t="n">
        <x:v>48</x:v>
      </x:c>
      <x:c r="O407" s="11" t="str">
        <x:v>A tiempo</x:v>
      </x:c>
      <x:c r="P407" s="20" t="n">
        <x:v>3</x:v>
      </x:c>
      <x:c r="Q407" s="18" t="n">
        <x:f>I407*J407</x:f>
        <x:v>93300</x:v>
      </x:c>
      <x:c r="R407" s="18" t="n">
        <x:f>Q407*K407</x:f>
        <x:v>0</x:v>
      </x:c>
      <x:c r="S407" s="18" t="n">
        <x:f>Q407-R407</x:f>
        <x:v>93300</x:v>
      </x:c>
      <x:c r="T407" s="18" t="n">
        <x:f>I407*L407</x:f>
        <x:v>60900</x:v>
      </x:c>
      <x:c r="U407" s="18" t="n">
        <x:f>S407-T407</x:f>
        <x:v>32400</x:v>
      </x:c>
    </x:row>
    <x:row r="408">
      <x:c r="A408" s="11" t="str">
        <x:v>V-0298</x:v>
      </x:c>
      <x:c r="B408" s="14" t="n">
        <x:v>46228</x:v>
      </x:c>
      <x:c r="C408" s="11" t="str">
        <x:v>Neiva</x:v>
      </x:c>
      <x:c r="D408" s="11" t="str">
        <x:v>Web</x:v>
      </x:c>
      <x:c r="E408" s="11" t="str">
        <x:v>Alimentos</x:v>
      </x:c>
      <x:c r="F408" s="11" t="str">
        <x:v>Producto gourmet</x:v>
      </x:c>
      <x:c r="G408" s="11" t="str">
        <x:v>C-0100</x:v>
      </x:c>
      <x:c r="H408" s="11" t="str">
        <x:v>Recurrente</x:v>
      </x:c>
      <x:c r="I408" s="11" t="n">
        <x:v>3</x:v>
      </x:c>
      <x:c r="J408" s="18" t="n">
        <x:v>28000</x:v>
      </x:c>
      <x:c r="K408" s="16" t="n">
        <x:v>0.1</x:v>
      </x:c>
      <x:c r="L408" s="18" t="n">
        <x:v>17900</x:v>
      </x:c>
      <x:c r="M408" s="11" t="str">
        <x:v>Tarjeta</x:v>
      </x:c>
      <x:c r="N408" s="11" t="n">
        <x:v>60</x:v>
      </x:c>
      <x:c r="O408" s="11" t="str">
        <x:v>A tiempo</x:v>
      </x:c>
      <x:c r="P408" s="20" t="n">
        <x:v>4</x:v>
      </x:c>
      <x:c r="Q408" s="18" t="n">
        <x:f>I408*J408</x:f>
        <x:v>84000</x:v>
      </x:c>
      <x:c r="R408" s="18" t="n">
        <x:f>Q408*K408</x:f>
        <x:v>8400</x:v>
      </x:c>
      <x:c r="S408" s="18" t="n">
        <x:f>Q408-R408</x:f>
        <x:v>75600</x:v>
      </x:c>
      <x:c r="T408" s="18" t="n">
        <x:f>I408*L408</x:f>
        <x:v>53700</x:v>
      </x:c>
      <x:c r="U408" s="18" t="n">
        <x:f>S408-T408</x:f>
        <x:v>21900</x:v>
      </x:c>
    </x:row>
    <x:row r="409">
      <x:c r="A409" s="11" t="str">
        <x:v>V-0346</x:v>
      </x:c>
      <x:c r="B409" s="14" t="n">
        <x:v>46228</x:v>
      </x:c>
      <x:c r="C409" s="11" t="str">
        <x:v>Florencia</x:v>
      </x:c>
      <x:c r="D409" s="11" t="str">
        <x:v>Web</x:v>
      </x:c>
      <x:c r="E409" s="11" t="str">
        <x:v>Hogar</x:v>
      </x:c>
      <x:c r="F409" s="11" t="str">
        <x:v>Organizador</x:v>
      </x:c>
      <x:c r="G409" s="11" t="str">
        <x:v>C-0103</x:v>
      </x:c>
      <x:c r="H409" s="11" t="str">
        <x:v>Recurrente</x:v>
      </x:c>
      <x:c r="I409" s="11" t="n">
        <x:v>5</x:v>
      </x:c>
      <x:c r="J409" s="18" t="n">
        <x:v>34200</x:v>
      </x:c>
      <x:c r="K409" s="16" t="n">
        <x:v>0</x:v>
      </x:c>
      <x:c r="L409" s="18" t="n">
        <x:v>21200</x:v>
      </x:c>
      <x:c r="M409" s="11" t="str">
        <x:v>Tarjeta</x:v>
      </x:c>
      <x:c r="N409" s="11" t="n">
        <x:v>67</x:v>
      </x:c>
      <x:c r="O409" s="11" t="str">
        <x:v>A tiempo</x:v>
      </x:c>
      <x:c r="P409" s="20" t="n">
        <x:v>5</x:v>
      </x:c>
      <x:c r="Q409" s="18" t="n">
        <x:f>I409*J409</x:f>
        <x:v>171000</x:v>
      </x:c>
      <x:c r="R409" s="18" t="n">
        <x:f>Q409*K409</x:f>
        <x:v>0</x:v>
      </x:c>
      <x:c r="S409" s="18" t="n">
        <x:f>Q409-R409</x:f>
        <x:v>171000</x:v>
      </x:c>
      <x:c r="T409" s="18" t="n">
        <x:f>I409*L409</x:f>
        <x:v>106000</x:v>
      </x:c>
      <x:c r="U409" s="18" t="n">
        <x:f>S409-T409</x:f>
        <x:v>65000</x:v>
      </x:c>
    </x:row>
    <x:row r="410">
      <x:c r="A410" s="11" t="str">
        <x:v>V-0052</x:v>
      </x:c>
      <x:c r="B410" s="14" t="n">
        <x:v>46229</x:v>
      </x:c>
      <x:c r="C410" s="11" t="str">
        <x:v>Cali</x:v>
      </x:c>
      <x:c r="D410" s="11" t="str">
        <x:v>Tienda</x:v>
      </x:c>
      <x:c r="E410" s="11" t="str">
        <x:v>Cuidado personal</x:v>
      </x:c>
      <x:c r="F410" s="11" t="str">
        <x:v>Accesorio personal</x:v>
      </x:c>
      <x:c r="G410" s="11" t="str">
        <x:v>C-0111</x:v>
      </x:c>
      <x:c r="H410" s="11" t="str">
        <x:v>Nuevo</x:v>
      </x:c>
      <x:c r="I410" s="11" t="n">
        <x:v>2</x:v>
      </x:c>
      <x:c r="J410" s="18" t="n">
        <x:v>19400</x:v>
      </x:c>
      <x:c r="K410" s="16" t="n">
        <x:v>0</x:v>
      </x:c>
      <x:c r="L410" s="18" t="n">
        <x:v>10500</x:v>
      </x:c>
      <x:c r="M410" s="11" t="str">
        <x:v>Tarjeta</x:v>
      </x:c>
      <x:c r="N410" s="11" t="n">
        <x:v>0</x:v>
      </x:c>
      <x:c r="O410" s="11" t="str">
        <x:v>No aplica</x:v>
      </x:c>
      <x:c r="P410" s="20" t="n">
        <x:v>4</x:v>
      </x:c>
      <x:c r="Q410" s="18" t="n">
        <x:f>I410*J410</x:f>
        <x:v>38800</x:v>
      </x:c>
      <x:c r="R410" s="18" t="n">
        <x:f>Q410*K410</x:f>
        <x:v>0</x:v>
      </x:c>
      <x:c r="S410" s="18" t="n">
        <x:f>Q410-R410</x:f>
        <x:v>38800</x:v>
      </x:c>
      <x:c r="T410" s="18" t="n">
        <x:f>I410*L410</x:f>
        <x:v>21000</x:v>
      </x:c>
      <x:c r="U410" s="18" t="n">
        <x:f>S410-T410</x:f>
        <x:v>17800</x:v>
      </x:c>
    </x:row>
    <x:row r="411">
      <x:c r="A411" s="11" t="str">
        <x:v>V-0299</x:v>
      </x:c>
      <x:c r="B411" s="14" t="n">
        <x:v>46229</x:v>
      </x:c>
      <x:c r="C411" s="11" t="str">
        <x:v>Ibagué</x:v>
      </x:c>
      <x:c r="D411" s="11" t="str">
        <x:v>Tienda</x:v>
      </x:c>
      <x:c r="E411" s="11" t="str">
        <x:v>Alimentos</x:v>
      </x:c>
      <x:c r="F411" s="11" t="str">
        <x:v>Producto gourmet</x:v>
      </x:c>
      <x:c r="G411" s="11" t="str">
        <x:v>C-0049</x:v>
      </x:c>
      <x:c r="H411" s="11" t="str">
        <x:v>Recurrente</x:v>
      </x:c>
      <x:c r="I411" s="11" t="n">
        <x:v>2</x:v>
      </x:c>
      <x:c r="J411" s="18" t="n">
        <x:v>32800</x:v>
      </x:c>
      <x:c r="K411" s="16" t="n">
        <x:v>0.2</x:v>
      </x:c>
      <x:c r="L411" s="18" t="n">
        <x:v>21400</x:v>
      </x:c>
      <x:c r="M411" s="11" t="str">
        <x:v>Billetera digital</x:v>
      </x:c>
      <x:c r="N411" s="11" t="n">
        <x:v>0</x:v>
      </x:c>
      <x:c r="O411" s="11" t="str">
        <x:v>No aplica</x:v>
      </x:c>
      <x:c r="P411" s="20" t="n">
        <x:v>4</x:v>
      </x:c>
      <x:c r="Q411" s="18" t="n">
        <x:f>I411*J411</x:f>
        <x:v>65600</x:v>
      </x:c>
      <x:c r="R411" s="18" t="n">
        <x:f>Q411*K411</x:f>
        <x:v>13120</x:v>
      </x:c>
      <x:c r="S411" s="18" t="n">
        <x:f>Q411-R411</x:f>
        <x:v>52480</x:v>
      </x:c>
      <x:c r="T411" s="18" t="n">
        <x:f>I411*L411</x:f>
        <x:v>42800</x:v>
      </x:c>
      <x:c r="U411" s="18" t="n">
        <x:f>S411-T411</x:f>
        <x:v>9680</x:v>
      </x:c>
    </x:row>
    <x:row r="412">
      <x:c r="A412" s="11" t="str">
        <x:v>V-0304</x:v>
      </x:c>
      <x:c r="B412" s="14" t="n">
        <x:v>46229</x:v>
      </x:c>
      <x:c r="C412" s="11" t="str">
        <x:v>Ibagué</x:v>
      </x:c>
      <x:c r="D412" s="11" t="str">
        <x:v>Tienda</x:v>
      </x:c>
      <x:c r="E412" s="11" t="str">
        <x:v>Hogar</x:v>
      </x:c>
      <x:c r="F412" s="11" t="str">
        <x:v>Kit limpieza</x:v>
      </x:c>
      <x:c r="G412" s="11" t="str">
        <x:v>C-0004</x:v>
      </x:c>
      <x:c r="H412" s="11" t="str">
        <x:v>Recurrente</x:v>
      </x:c>
      <x:c r="I412" s="11" t="n">
        <x:v>1</x:v>
      </x:c>
      <x:c r="J412" s="18" t="n">
        <x:v>23800</x:v>
      </x:c>
      <x:c r="K412" s="16" t="n">
        <x:v>0</x:v>
      </x:c>
      <x:c r="L412" s="18" t="n">
        <x:v>14300</x:v>
      </x:c>
      <x:c r="M412" s="11" t="str">
        <x:v>Efectivo</x:v>
      </x:c>
      <x:c r="N412" s="11" t="n">
        <x:v>0</x:v>
      </x:c>
      <x:c r="O412" s="11" t="str">
        <x:v>No aplica</x:v>
      </x:c>
      <x:c r="P412" s="20" t="n">
        <x:v>3</x:v>
      </x:c>
      <x:c r="Q412" s="18" t="n">
        <x:f>I412*J412</x:f>
        <x:v>23800</x:v>
      </x:c>
      <x:c r="R412" s="18" t="n">
        <x:f>Q412*K412</x:f>
        <x:v>0</x:v>
      </x:c>
      <x:c r="S412" s="18" t="n">
        <x:f>Q412-R412</x:f>
        <x:v>23800</x:v>
      </x:c>
      <x:c r="T412" s="18" t="n">
        <x:f>I412*L412</x:f>
        <x:v>14300</x:v>
      </x:c>
      <x:c r="U412" s="18" t="n">
        <x:f>S412-T412</x:f>
        <x:v>9500</x:v>
      </x:c>
    </x:row>
    <x:row r="413">
      <x:c r="A413" s="11" t="str">
        <x:v>V-0137</x:v>
      </x:c>
      <x:c r="B413" s="14" t="n">
        <x:v>46230</x:v>
      </x:c>
      <x:c r="C413" s="11" t="str">
        <x:v>Ibagué</x:v>
      </x:c>
      <x:c r="D413" s="11" t="str">
        <x:v>Tienda</x:v>
      </x:c>
      <x:c r="E413" s="11" t="str">
        <x:v>Alimentos</x:v>
      </x:c>
      <x:c r="F413" s="11" t="str">
        <x:v>Snack saludable</x:v>
      </x:c>
      <x:c r="G413" s="11" t="str">
        <x:v>C-0020</x:v>
      </x:c>
      <x:c r="H413" s="11" t="str">
        <x:v>Recurrente</x:v>
      </x:c>
      <x:c r="I413" s="11" t="n">
        <x:v>5</x:v>
      </x:c>
      <x:c r="J413" s="18" t="n">
        <x:v>8900</x:v>
      </x:c>
      <x:c r="K413" s="16" t="n">
        <x:v>0</x:v>
      </x:c>
      <x:c r="L413" s="18" t="n">
        <x:v>5000</x:v>
      </x:c>
      <x:c r="M413" s="11" t="str">
        <x:v>Tarjeta</x:v>
      </x:c>
      <x:c r="N413" s="11" t="n">
        <x:v>0</x:v>
      </x:c>
      <x:c r="O413" s="11" t="str">
        <x:v>No aplica</x:v>
      </x:c>
      <x:c r="P413" s="20" t="n">
        <x:v>4</x:v>
      </x:c>
      <x:c r="Q413" s="18" t="n">
        <x:f>I413*J413</x:f>
        <x:v>44500</x:v>
      </x:c>
      <x:c r="R413" s="18" t="n">
        <x:f>Q413*K413</x:f>
        <x:v>0</x:v>
      </x:c>
      <x:c r="S413" s="18" t="n">
        <x:f>Q413-R413</x:f>
        <x:v>44500</x:v>
      </x:c>
      <x:c r="T413" s="18" t="n">
        <x:f>I413*L413</x:f>
        <x:v>25000</x:v>
      </x:c>
      <x:c r="U413" s="18" t="n">
        <x:f>S413-T413</x:f>
        <x:v>19500</x:v>
      </x:c>
    </x:row>
    <x:row r="414">
      <x:c r="A414" s="11" t="str">
        <x:v>V-0358</x:v>
      </x:c>
      <x:c r="B414" s="14" t="n">
        <x:v>46230</x:v>
      </x:c>
      <x:c r="C414" s="11" t="str">
        <x:v>Bogotá</x:v>
      </x:c>
      <x:c r="D414" s="11" t="str">
        <x:v>Tienda</x:v>
      </x:c>
      <x:c r="E414" s="11" t="str">
        <x:v>Alimentos</x:v>
      </x:c>
      <x:c r="F414" s="11" t="str">
        <x:v>Snack saludable</x:v>
      </x:c>
      <x:c r="G414" s="11" t="str">
        <x:v>C-0116</x:v>
      </x:c>
      <x:c r="H414" s="11" t="str">
        <x:v>Recurrente</x:v>
      </x:c>
      <x:c r="I414" s="11" t="n">
        <x:v>2</x:v>
      </x:c>
      <x:c r="J414" s="18" t="n">
        <x:v>8400</x:v>
      </x:c>
      <x:c r="K414" s="16" t="n">
        <x:v>0.05</x:v>
      </x:c>
      <x:c r="L414" s="18" t="n">
        <x:v>5000</x:v>
      </x:c>
      <x:c r="M414" s="11" t="str">
        <x:v>Transferencia</x:v>
      </x:c>
      <x:c r="N414" s="11" t="n">
        <x:v>0</x:v>
      </x:c>
      <x:c r="O414" s="11" t="str">
        <x:v>No aplica</x:v>
      </x:c>
      <x:c r="P414" s="20" t="n">
        <x:v>5</x:v>
      </x:c>
      <x:c r="Q414" s="18" t="n">
        <x:f>I414*J414</x:f>
        <x:v>16800</x:v>
      </x:c>
      <x:c r="R414" s="18" t="n">
        <x:f>Q414*K414</x:f>
        <x:v>840</x:v>
      </x:c>
      <x:c r="S414" s="18" t="n">
        <x:f>Q414-R414</x:f>
        <x:v>15960</x:v>
      </x:c>
      <x:c r="T414" s="18" t="n">
        <x:f>I414*L414</x:f>
        <x:v>10000</x:v>
      </x:c>
      <x:c r="U414" s="18" t="n">
        <x:f>S414-T414</x:f>
        <x:v>5960</x:v>
      </x:c>
    </x:row>
    <x:row r="415">
      <x:c r="A415" s="11" t="str">
        <x:v>V-0471</x:v>
      </x:c>
      <x:c r="B415" s="14" t="n">
        <x:v>46231</x:v>
      </x:c>
      <x:c r="C415" s="11" t="str">
        <x:v>Ibagué</x:v>
      </x:c>
      <x:c r="D415" s="11" t="str">
        <x:v>Web</x:v>
      </x:c>
      <x:c r="E415" s="11" t="str">
        <x:v>Cuidado personal</x:v>
      </x:c>
      <x:c r="F415" s="11" t="str">
        <x:v>Kit cuidado</x:v>
      </x:c>
      <x:c r="G415" s="11" t="str">
        <x:v>C-0021</x:v>
      </x:c>
      <x:c r="H415" s="11" t="str">
        <x:v>Recurrente</x:v>
      </x:c>
      <x:c r="I415" s="11" t="n">
        <x:v>4</x:v>
      </x:c>
      <x:c r="J415" s="18" t="n">
        <x:v>38400</x:v>
      </x:c>
      <x:c r="K415" s="16" t="n">
        <x:v>0.1</x:v>
      </x:c>
      <x:c r="L415" s="18" t="n">
        <x:v>22900</x:v>
      </x:c>
      <x:c r="M415" s="11" t="str">
        <x:v>Transferencia</x:v>
      </x:c>
      <x:c r="N415" s="11" t="n">
        <x:v>54</x:v>
      </x:c>
      <x:c r="O415" s="11" t="str">
        <x:v>A tiempo</x:v>
      </x:c>
      <x:c r="P415" s="20" t="n">
        <x:v>4</x:v>
      </x:c>
      <x:c r="Q415" s="18" t="n">
        <x:f>I415*J415</x:f>
        <x:v>153600</x:v>
      </x:c>
      <x:c r="R415" s="18" t="n">
        <x:f>Q415*K415</x:f>
        <x:v>15360</x:v>
      </x:c>
      <x:c r="S415" s="18" t="n">
        <x:f>Q415-R415</x:f>
        <x:v>138240</x:v>
      </x:c>
      <x:c r="T415" s="18" t="n">
        <x:f>I415*L415</x:f>
        <x:v>91600</x:v>
      </x:c>
      <x:c r="U415" s="18" t="n">
        <x:f>S415-T415</x:f>
        <x:v>46640</x:v>
      </x:c>
    </x:row>
    <x:row r="416">
      <x:c r="A416" s="11" t="str">
        <x:v>V-0147</x:v>
      </x:c>
      <x:c r="B416" s="14" t="n">
        <x:v>46232</x:v>
      </x:c>
      <x:c r="C416" s="11" t="str">
        <x:v>Neiva</x:v>
      </x:c>
      <x:c r="D416" s="11" t="str">
        <x:v>Web</x:v>
      </x:c>
      <x:c r="E416" s="11" t="str">
        <x:v>Hogar</x:v>
      </x:c>
      <x:c r="F416" s="11" t="str">
        <x:v>Organizador</x:v>
      </x:c>
      <x:c r="G416" s="11" t="str">
        <x:v>C-0030</x:v>
      </x:c>
      <x:c r="H416" s="11" t="str">
        <x:v>Recurrente</x:v>
      </x:c>
      <x:c r="I416" s="11" t="n">
        <x:v>5</x:v>
      </x:c>
      <x:c r="J416" s="18" t="n">
        <x:v>38700</x:v>
      </x:c>
      <x:c r="K416" s="16" t="n">
        <x:v>0.05</x:v>
      </x:c>
      <x:c r="L416" s="18" t="n">
        <x:v>24100</x:v>
      </x:c>
      <x:c r="M416" s="11" t="str">
        <x:v>Tarjeta</x:v>
      </x:c>
      <x:c r="N416" s="11" t="n">
        <x:v>45</x:v>
      </x:c>
      <x:c r="O416" s="11" t="str">
        <x:v>A tiempo</x:v>
      </x:c>
      <x:c r="P416" s="20" t="n">
        <x:v>4</x:v>
      </x:c>
      <x:c r="Q416" s="18" t="n">
        <x:f>I416*J416</x:f>
        <x:v>193500</x:v>
      </x:c>
      <x:c r="R416" s="18" t="n">
        <x:f>Q416*K416</x:f>
        <x:v>9675</x:v>
      </x:c>
      <x:c r="S416" s="18" t="n">
        <x:f>Q416-R416</x:f>
        <x:v>183825</x:v>
      </x:c>
      <x:c r="T416" s="18" t="n">
        <x:f>I416*L416</x:f>
        <x:v>120500</x:v>
      </x:c>
      <x:c r="U416" s="18" t="n">
        <x:f>S416-T416</x:f>
        <x:v>63325</x:v>
      </x:c>
    </x:row>
    <x:row r="417">
      <x:c r="A417" s="11" t="str">
        <x:v>V-0366</x:v>
      </x:c>
      <x:c r="B417" s="14" t="n">
        <x:v>46232</x:v>
      </x:c>
      <x:c r="C417" s="11" t="str">
        <x:v>Medellín</x:v>
      </x:c>
      <x:c r="D417" s="11" t="str">
        <x:v>App</x:v>
      </x:c>
      <x:c r="E417" s="11" t="str">
        <x:v>Bebidas</x:v>
      </x:c>
      <x:c r="F417" s="11" t="str">
        <x:v>Bebida fría</x:v>
      </x:c>
      <x:c r="G417" s="11" t="str">
        <x:v>C-0062</x:v>
      </x:c>
      <x:c r="H417" s="11" t="str">
        <x:v>Recurrente</x:v>
      </x:c>
      <x:c r="I417" s="11" t="n">
        <x:v>1</x:v>
      </x:c>
      <x:c r="J417" s="18" t="n">
        <x:v>7100</x:v>
      </x:c>
      <x:c r="K417" s="16" t="n">
        <x:v>0.05</x:v>
      </x:c>
      <x:c r="L417" s="18" t="n">
        <x:v>3600</x:v>
      </x:c>
      <x:c r="M417" s="11" t="str">
        <x:v>Transferencia</x:v>
      </x:c>
      <x:c r="N417" s="11" t="n">
        <x:v>61</x:v>
      </x:c>
      <x:c r="O417" s="11" t="str">
        <x:v>Tardía</x:v>
      </x:c>
      <x:c r="P417" s="20" t="n">
        <x:v>2</x:v>
      </x:c>
      <x:c r="Q417" s="18" t="n">
        <x:f>I417*J417</x:f>
        <x:v>7100</x:v>
      </x:c>
      <x:c r="R417" s="18" t="n">
        <x:f>Q417*K417</x:f>
        <x:v>355</x:v>
      </x:c>
      <x:c r="S417" s="18" t="n">
        <x:f>Q417-R417</x:f>
        <x:v>6745</x:v>
      </x:c>
      <x:c r="T417" s="18" t="n">
        <x:f>I417*L417</x:f>
        <x:v>3600</x:v>
      </x:c>
      <x:c r="U417" s="18" t="n">
        <x:f>S417-T417</x:f>
        <x:v>3145</x:v>
      </x:c>
    </x:row>
    <x:row r="418">
      <x:c r="A418" s="11" t="str">
        <x:v>V-0138</x:v>
      </x:c>
      <x:c r="B418" s="14" t="n">
        <x:v>46233</x:v>
      </x:c>
      <x:c r="C418" s="11" t="str">
        <x:v>Ibagué</x:v>
      </x:c>
      <x:c r="D418" s="11" t="str">
        <x:v>Web</x:v>
      </x:c>
      <x:c r="E418" s="11" t="str">
        <x:v>Bebidas</x:v>
      </x:c>
      <x:c r="F418" s="11" t="str">
        <x:v>Bebida fría</x:v>
      </x:c>
      <x:c r="G418" s="11" t="str">
        <x:v>C-0052</x:v>
      </x:c>
      <x:c r="H418" s="11" t="str">
        <x:v>Recurrente</x:v>
      </x:c>
      <x:c r="I418" s="11" t="n">
        <x:v>4</x:v>
      </x:c>
      <x:c r="J418" s="18" t="n">
        <x:v>7300</x:v>
      </x:c>
      <x:c r="K418" s="16" t="n">
        <x:v>0</x:v>
      </x:c>
      <x:c r="L418" s="18" t="n">
        <x:v>4000</x:v>
      </x:c>
      <x:c r="M418" s="11" t="str">
        <x:v>Billetera digital</x:v>
      </x:c>
      <x:c r="N418" s="11" t="n">
        <x:v>52</x:v>
      </x:c>
      <x:c r="O418" s="11" t="str">
        <x:v>A tiempo</x:v>
      </x:c>
      <x:c r="P418" s="20" t="n">
        <x:v>4</x:v>
      </x:c>
      <x:c r="Q418" s="18" t="n">
        <x:f>I418*J418</x:f>
        <x:v>29200</x:v>
      </x:c>
      <x:c r="R418" s="18" t="n">
        <x:f>Q418*K418</x:f>
        <x:v>0</x:v>
      </x:c>
      <x:c r="S418" s="18" t="n">
        <x:f>Q418-R418</x:f>
        <x:v>29200</x:v>
      </x:c>
      <x:c r="T418" s="18" t="n">
        <x:f>I418*L418</x:f>
        <x:v>16000</x:v>
      </x:c>
      <x:c r="U418" s="18" t="n">
        <x:f>S418-T418</x:f>
        <x:v>13200</x:v>
      </x:c>
    </x:row>
    <x:row r="419">
      <x:c r="A419" s="11" t="str">
        <x:v>V-0220</x:v>
      </x:c>
      <x:c r="B419" s="14" t="n">
        <x:v>46233</x:v>
      </x:c>
      <x:c r="C419" s="11" t="str">
        <x:v>Bogotá</x:v>
      </x:c>
      <x:c r="D419" s="11" t="str">
        <x:v>Tienda</x:v>
      </x:c>
      <x:c r="E419" s="11" t="str">
        <x:v>Alimentos</x:v>
      </x:c>
      <x:c r="F419" s="11" t="str">
        <x:v>Combo almuerzo</x:v>
      </x:c>
      <x:c r="G419" s="11" t="str">
        <x:v>C-0104</x:v>
      </x:c>
      <x:c r="H419" s="11" t="str">
        <x:v>Recurrente</x:v>
      </x:c>
      <x:c r="I419" s="11" t="n">
        <x:v>2</x:v>
      </x:c>
      <x:c r="J419" s="18" t="n">
        <x:v>20800</x:v>
      </x:c>
      <x:c r="K419" s="16" t="n">
        <x:v>0.1</x:v>
      </x:c>
      <x:c r="L419" s="18" t="n">
        <x:v>12600</x:v>
      </x:c>
      <x:c r="M419" s="11" t="str">
        <x:v>Transferencia</x:v>
      </x:c>
      <x:c r="N419" s="11" t="n">
        <x:v>0</x:v>
      </x:c>
      <x:c r="O419" s="11" t="str">
        <x:v>No aplica</x:v>
      </x:c>
      <x:c r="P419" s="20" t="n">
        <x:v>4</x:v>
      </x:c>
      <x:c r="Q419" s="18" t="n">
        <x:f>I419*J419</x:f>
        <x:v>41600</x:v>
      </x:c>
      <x:c r="R419" s="18" t="n">
        <x:f>Q419*K419</x:f>
        <x:v>4160</x:v>
      </x:c>
      <x:c r="S419" s="18" t="n">
        <x:f>Q419-R419</x:f>
        <x:v>37440</x:v>
      </x:c>
      <x:c r="T419" s="18" t="n">
        <x:f>I419*L419</x:f>
        <x:v>25200</x:v>
      </x:c>
      <x:c r="U419" s="18" t="n">
        <x:f>S419-T419</x:f>
        <x:v>12240</x:v>
      </x:c>
    </x:row>
    <x:row r="420">
      <x:c r="A420" s="11" t="str">
        <x:v>V-0391</x:v>
      </x:c>
      <x:c r="B420" s="14" t="n">
        <x:v>46233</x:v>
      </x:c>
      <x:c r="C420" s="11" t="str">
        <x:v>Cali</x:v>
      </x:c>
      <x:c r="D420" s="11" t="str">
        <x:v>Tienda</x:v>
      </x:c>
      <x:c r="E420" s="11" t="str">
        <x:v>Hogar</x:v>
      </x:c>
      <x:c r="F420" s="11" t="str">
        <x:v>Organizador</x:v>
      </x:c>
      <x:c r="G420" s="11" t="str">
        <x:v>C-0117</x:v>
      </x:c>
      <x:c r="H420" s="11" t="str">
        <x:v>Recurrente</x:v>
      </x:c>
      <x:c r="I420" s="11" t="n">
        <x:v>1</x:v>
      </x:c>
      <x:c r="J420" s="18" t="n">
        <x:v>38100</x:v>
      </x:c>
      <x:c r="K420" s="16" t="n">
        <x:v>0</x:v>
      </x:c>
      <x:c r="L420" s="18" t="n">
        <x:v>22100</x:v>
      </x:c>
      <x:c r="M420" s="11" t="str">
        <x:v>Billetera digital</x:v>
      </x:c>
      <x:c r="N420" s="11" t="n">
        <x:v>0</x:v>
      </x:c>
      <x:c r="O420" s="11" t="str">
        <x:v>No aplica</x:v>
      </x:c>
      <x:c r="P420" s="20" t="n">
        <x:v>5</x:v>
      </x:c>
      <x:c r="Q420" s="18" t="n">
        <x:f>I420*J420</x:f>
        <x:v>38100</x:v>
      </x:c>
      <x:c r="R420" s="18" t="n">
        <x:f>Q420*K420</x:f>
        <x:v>0</x:v>
      </x:c>
      <x:c r="S420" s="18" t="n">
        <x:f>Q420-R420</x:f>
        <x:v>38100</x:v>
      </x:c>
      <x:c r="T420" s="18" t="n">
        <x:f>I420*L420</x:f>
        <x:v>22100</x:v>
      </x:c>
      <x:c r="U420" s="18" t="n">
        <x:f>S420-T420</x:f>
        <x:v>16000</x:v>
      </x:c>
    </x:row>
    <x:row r="421">
      <x:c r="A421" s="11" t="str">
        <x:v>V-0406</x:v>
      </x:c>
      <x:c r="B421" s="14" t="n">
        <x:v>46233</x:v>
      </x:c>
      <x:c r="C421" s="11" t="str">
        <x:v>Ibagué</x:v>
      </x:c>
      <x:c r="D421" s="11" t="str">
        <x:v>App</x:v>
      </x:c>
      <x:c r="E421" s="11" t="str">
        <x:v>Alimentos</x:v>
      </x:c>
      <x:c r="F421" s="11" t="str">
        <x:v>Producto gourmet</x:v>
      </x:c>
      <x:c r="G421" s="11" t="str">
        <x:v>C-0112</x:v>
      </x:c>
      <x:c r="H421" s="11" t="str">
        <x:v>Recurrente</x:v>
      </x:c>
      <x:c r="I421" s="11" t="n">
        <x:v>5</x:v>
      </x:c>
      <x:c r="J421" s="18" t="n">
        <x:v>28500</x:v>
      </x:c>
      <x:c r="K421" s="16" t="n">
        <x:v>0.1</x:v>
      </x:c>
      <x:c r="L421" s="18" t="n">
        <x:v>18400</x:v>
      </x:c>
      <x:c r="M421" s="11" t="str">
        <x:v>Tarjeta</x:v>
      </x:c>
      <x:c r="N421" s="11" t="n">
        <x:v>53</x:v>
      </x:c>
      <x:c r="O421" s="11" t="str">
        <x:v>A tiempo</x:v>
      </x:c>
      <x:c r="P421" s="20" t="n">
        <x:v>3</x:v>
      </x:c>
      <x:c r="Q421" s="18" t="n">
        <x:f>I421*J421</x:f>
        <x:v>142500</x:v>
      </x:c>
      <x:c r="R421" s="18" t="n">
        <x:f>Q421*K421</x:f>
        <x:v>14250</x:v>
      </x:c>
      <x:c r="S421" s="18" t="n">
        <x:f>Q421-R421</x:f>
        <x:v>128250</x:v>
      </x:c>
      <x:c r="T421" s="18" t="n">
        <x:f>I421*L421</x:f>
        <x:v>92000</x:v>
      </x:c>
      <x:c r="U421" s="18" t="n">
        <x:f>S421-T421</x:f>
        <x:v>36250</x:v>
      </x:c>
    </x:row>
    <x:row r="422">
      <x:c r="A422" s="11" t="str">
        <x:v>V-0263</x:v>
      </x:c>
      <x:c r="B422" s="14" t="n">
        <x:v>46235</x:v>
      </x:c>
      <x:c r="C422" s="11" t="str">
        <x:v>Cali</x:v>
      </x:c>
      <x:c r="D422" s="11" t="str">
        <x:v>Web</x:v>
      </x:c>
      <x:c r="E422" s="11" t="str">
        <x:v>Bebidas</x:v>
      </x:c>
      <x:c r="F422" s="11" t="str">
        <x:v>Bebida caliente</x:v>
      </x:c>
      <x:c r="G422" s="11" t="str">
        <x:v>C-0106</x:v>
      </x:c>
      <x:c r="H422" s="11" t="str">
        <x:v>Recurrente</x:v>
      </x:c>
      <x:c r="I422" s="11" t="n">
        <x:v>3</x:v>
      </x:c>
      <x:c r="J422" s="18" t="n">
        <x:v>7100</x:v>
      </x:c>
      <x:c r="K422" s="16" t="n">
        <x:v>0</x:v>
      </x:c>
      <x:c r="L422" s="18" t="n">
        <x:v>3500</x:v>
      </x:c>
      <x:c r="M422" s="11" t="str">
        <x:v>Billetera digital</x:v>
      </x:c>
      <x:c r="N422" s="11" t="n">
        <x:v>64</x:v>
      </x:c>
      <x:c r="O422" s="11" t="str">
        <x:v>Tardía</x:v>
      </x:c>
      <x:c r="P422" s="20" t="n">
        <x:v>2</x:v>
      </x:c>
      <x:c r="Q422" s="18" t="n">
        <x:f>I422*J422</x:f>
        <x:v>21300</x:v>
      </x:c>
      <x:c r="R422" s="18" t="n">
        <x:f>Q422*K422</x:f>
        <x:v>0</x:v>
      </x:c>
      <x:c r="S422" s="18" t="n">
        <x:f>Q422-R422</x:f>
        <x:v>21300</x:v>
      </x:c>
      <x:c r="T422" s="18" t="n">
        <x:f>I422*L422</x:f>
        <x:v>10500</x:v>
      </x:c>
      <x:c r="U422" s="18" t="n">
        <x:f>S422-T422</x:f>
        <x:v>10800</x:v>
      </x:c>
    </x:row>
    <x:row r="423">
      <x:c r="A423" s="11" t="str">
        <x:v>V-0379</x:v>
      </x:c>
      <x:c r="B423" s="14" t="n">
        <x:v>46235</x:v>
      </x:c>
      <x:c r="C423" s="11" t="str">
        <x:v>Florencia</x:v>
      </x:c>
      <x:c r="D423" s="11" t="str">
        <x:v>App</x:v>
      </x:c>
      <x:c r="E423" s="11" t="str">
        <x:v>Hogar</x:v>
      </x:c>
      <x:c r="F423" s="11" t="str">
        <x:v>Kit limpieza</x:v>
      </x:c>
      <x:c r="G423" s="11" t="str">
        <x:v>C-0072</x:v>
      </x:c>
      <x:c r="H423" s="11" t="str">
        <x:v>Recurrente</x:v>
      </x:c>
      <x:c r="I423" s="11" t="n">
        <x:v>4</x:v>
      </x:c>
      <x:c r="J423" s="18" t="n">
        <x:v>25600</x:v>
      </x:c>
      <x:c r="K423" s="16" t="n">
        <x:v>0.05</x:v>
      </x:c>
      <x:c r="L423" s="18" t="n">
        <x:v>14600</x:v>
      </x:c>
      <x:c r="M423" s="11" t="str">
        <x:v>Billetera digital</x:v>
      </x:c>
      <x:c r="N423" s="11" t="n">
        <x:v>48</x:v>
      </x:c>
      <x:c r="O423" s="11" t="str">
        <x:v>A tiempo</x:v>
      </x:c>
      <x:c r="P423" s="20" t="n">
        <x:v>4</x:v>
      </x:c>
      <x:c r="Q423" s="18" t="n">
        <x:f>I423*J423</x:f>
        <x:v>102400</x:v>
      </x:c>
      <x:c r="R423" s="18" t="n">
        <x:f>Q423*K423</x:f>
        <x:v>5120</x:v>
      </x:c>
      <x:c r="S423" s="18" t="n">
        <x:f>Q423-R423</x:f>
        <x:v>97280</x:v>
      </x:c>
      <x:c r="T423" s="18" t="n">
        <x:f>I423*L423</x:f>
        <x:v>58400</x:v>
      </x:c>
      <x:c r="U423" s="18" t="n">
        <x:f>S423-T423</x:f>
        <x:v>38880</x:v>
      </x:c>
    </x:row>
    <x:row r="424">
      <x:c r="A424" s="11" t="str">
        <x:v>V-0447</x:v>
      </x:c>
      <x:c r="B424" s="14" t="n">
        <x:v>46235</x:v>
      </x:c>
      <x:c r="C424" s="11" t="str">
        <x:v>Neiva</x:v>
      </x:c>
      <x:c r="D424" s="11" t="str">
        <x:v>Web</x:v>
      </x:c>
      <x:c r="E424" s="11" t="str">
        <x:v>Cuidado personal</x:v>
      </x:c>
      <x:c r="F424" s="11" t="str">
        <x:v>Kit cuidado</x:v>
      </x:c>
      <x:c r="G424" s="11" t="str">
        <x:v>C-0093</x:v>
      </x:c>
      <x:c r="H424" s="11" t="str">
        <x:v>Recurrente</x:v>
      </x:c>
      <x:c r="I424" s="11" t="n">
        <x:v>4</x:v>
      </x:c>
      <x:c r="J424" s="18" t="n">
        <x:v>47000</x:v>
      </x:c>
      <x:c r="K424" s="16" t="n">
        <x:v>0.2</x:v>
      </x:c>
      <x:c r="L424" s="18" t="n">
        <x:v>30300</x:v>
      </x:c>
      <x:c r="M424" s="11" t="str">
        <x:v>Tarjeta</x:v>
      </x:c>
      <x:c r="N424" s="11" t="n">
        <x:v>36</x:v>
      </x:c>
      <x:c r="O424" s="11" t="str">
        <x:v>A tiempo</x:v>
      </x:c>
      <x:c r="P424" s="20" t="n">
        <x:v>5</x:v>
      </x:c>
      <x:c r="Q424" s="18" t="n">
        <x:f>I424*J424</x:f>
        <x:v>188000</x:v>
      </x:c>
      <x:c r="R424" s="18" t="n">
        <x:f>Q424*K424</x:f>
        <x:v>37600</x:v>
      </x:c>
      <x:c r="S424" s="18" t="n">
        <x:f>Q424-R424</x:f>
        <x:v>150400</x:v>
      </x:c>
      <x:c r="T424" s="18" t="n">
        <x:f>I424*L424</x:f>
        <x:v>121200</x:v>
      </x:c>
      <x:c r="U424" s="18" t="n">
        <x:f>S424-T424</x:f>
        <x:v>29200</x:v>
      </x:c>
    </x:row>
    <x:row r="425">
      <x:c r="A425" s="11" t="str">
        <x:v>V-0468</x:v>
      </x:c>
      <x:c r="B425" s="14" t="n">
        <x:v>46235</x:v>
      </x:c>
      <x:c r="C425" s="11" t="str">
        <x:v>Cali</x:v>
      </x:c>
      <x:c r="D425" s="11" t="str">
        <x:v>Tienda</x:v>
      </x:c>
      <x:c r="E425" s="11" t="str">
        <x:v>Alimentos</x:v>
      </x:c>
      <x:c r="F425" s="11" t="str">
        <x:v>Producto gourmet</x:v>
      </x:c>
      <x:c r="G425" s="11" t="str">
        <x:v>C-0111</x:v>
      </x:c>
      <x:c r="H425" s="11" t="str">
        <x:v>Recurrente</x:v>
      </x:c>
      <x:c r="I425" s="11" t="n">
        <x:v>5</x:v>
      </x:c>
      <x:c r="J425" s="18" t="n">
        <x:v>29200</x:v>
      </x:c>
      <x:c r="K425" s="16" t="n">
        <x:v>0</x:v>
      </x:c>
      <x:c r="L425" s="18" t="n">
        <x:v>18400</x:v>
      </x:c>
      <x:c r="M425" s="11" t="str">
        <x:v>Transferencia</x:v>
      </x:c>
      <x:c r="N425" s="11" t="n">
        <x:v>0</x:v>
      </x:c>
      <x:c r="O425" s="11" t="str">
        <x:v>No aplica</x:v>
      </x:c>
      <x:c r="P425" s="20" t="n">
        <x:v>5</x:v>
      </x:c>
      <x:c r="Q425" s="18" t="n">
        <x:f>I425*J425</x:f>
        <x:v>146000</x:v>
      </x:c>
      <x:c r="R425" s="18" t="n">
        <x:f>Q425*K425</x:f>
        <x:v>0</x:v>
      </x:c>
      <x:c r="S425" s="18" t="n">
        <x:f>Q425-R425</x:f>
        <x:v>146000</x:v>
      </x:c>
      <x:c r="T425" s="18" t="n">
        <x:f>I425*L425</x:f>
        <x:v>92000</x:v>
      </x:c>
      <x:c r="U425" s="18" t="n">
        <x:f>S425-T425</x:f>
        <x:v>54000</x:v>
      </x:c>
    </x:row>
    <x:row r="426">
      <x:c r="A426" s="11" t="str">
        <x:v>V-0145</x:v>
      </x:c>
      <x:c r="B426" s="14" t="n">
        <x:v>46236</x:v>
      </x:c>
      <x:c r="C426" s="11" t="str">
        <x:v>Ibagué</x:v>
      </x:c>
      <x:c r="D426" s="11" t="str">
        <x:v>App</x:v>
      </x:c>
      <x:c r="E426" s="11" t="str">
        <x:v>Bebidas</x:v>
      </x:c>
      <x:c r="F426" s="11" t="str">
        <x:v>Bebida premium</x:v>
      </x:c>
      <x:c r="G426" s="11" t="str">
        <x:v>C-0057</x:v>
      </x:c>
      <x:c r="H426" s="11" t="str">
        <x:v>Nuevo</x:v>
      </x:c>
      <x:c r="I426" s="11" t="n">
        <x:v>6</x:v>
      </x:c>
      <x:c r="J426" s="18" t="n">
        <x:v>13600</x:v>
      </x:c>
      <x:c r="K426" s="16" t="n">
        <x:v>0.05</x:v>
      </x:c>
      <x:c r="L426" s="18" t="n">
        <x:v>7500</x:v>
      </x:c>
      <x:c r="M426" s="11" t="str">
        <x:v>Billetera digital</x:v>
      </x:c>
      <x:c r="N426" s="11" t="n">
        <x:v>39</x:v>
      </x:c>
      <x:c r="O426" s="11" t="str">
        <x:v>A tiempo</x:v>
      </x:c>
      <x:c r="P426" s="20" t="n">
        <x:v>2</x:v>
      </x:c>
      <x:c r="Q426" s="18" t="n">
        <x:f>I426*J426</x:f>
        <x:v>81600</x:v>
      </x:c>
      <x:c r="R426" s="18" t="n">
        <x:f>Q426*K426</x:f>
        <x:v>4080</x:v>
      </x:c>
      <x:c r="S426" s="18" t="n">
        <x:f>Q426-R426</x:f>
        <x:v>77520</x:v>
      </x:c>
      <x:c r="T426" s="18" t="n">
        <x:f>I426*L426</x:f>
        <x:v>45000</x:v>
      </x:c>
      <x:c r="U426" s="18" t="n">
        <x:f>S426-T426</x:f>
        <x:v>32520</x:v>
      </x:c>
    </x:row>
    <x:row r="427">
      <x:c r="A427" s="11" t="str">
        <x:v>V-0222</x:v>
      </x:c>
      <x:c r="B427" s="14" t="n">
        <x:v>46236</x:v>
      </x:c>
      <x:c r="C427" s="11" t="str">
        <x:v>Ibagué</x:v>
      </x:c>
      <x:c r="D427" s="11" t="str">
        <x:v>Tienda</x:v>
      </x:c>
      <x:c r="E427" s="11" t="str">
        <x:v>Cuidado personal</x:v>
      </x:c>
      <x:c r="F427" s="11" t="str">
        <x:v>Producto bienestar</x:v>
      </x:c>
      <x:c r="G427" s="11" t="str">
        <x:v>C-0021</x:v>
      </x:c>
      <x:c r="H427" s="11" t="str">
        <x:v>Recurrente</x:v>
      </x:c>
      <x:c r="I427" s="11" t="n">
        <x:v>2</x:v>
      </x:c>
      <x:c r="J427" s="18" t="n">
        <x:v>32200</x:v>
      </x:c>
      <x:c r="K427" s="16" t="n">
        <x:v>0</x:v>
      </x:c>
      <x:c r="L427" s="18" t="n">
        <x:v>18800</x:v>
      </x:c>
      <x:c r="M427" s="11" t="str">
        <x:v>Tarjeta</x:v>
      </x:c>
      <x:c r="N427" s="11" t="n">
        <x:v>0</x:v>
      </x:c>
      <x:c r="O427" s="11" t="str">
        <x:v>No aplica</x:v>
      </x:c>
      <x:c r="P427" s="20" t="n">
        <x:v>4</x:v>
      </x:c>
      <x:c r="Q427" s="18" t="n">
        <x:f>I427*J427</x:f>
        <x:v>64400</x:v>
      </x:c>
      <x:c r="R427" s="18" t="n">
        <x:f>Q427*K427</x:f>
        <x:v>0</x:v>
      </x:c>
      <x:c r="S427" s="18" t="n">
        <x:f>Q427-R427</x:f>
        <x:v>64400</x:v>
      </x:c>
      <x:c r="T427" s="18" t="n">
        <x:f>I427*L427</x:f>
        <x:v>37600</x:v>
      </x:c>
      <x:c r="U427" s="18" t="n">
        <x:f>S427-T427</x:f>
        <x:v>26800</x:v>
      </x:c>
    </x:row>
    <x:row r="428">
      <x:c r="A428" s="11" t="str">
        <x:v>V-0278</x:v>
      </x:c>
      <x:c r="B428" s="14" t="n">
        <x:v>46236</x:v>
      </x:c>
      <x:c r="C428" s="11" t="str">
        <x:v>Cali</x:v>
      </x:c>
      <x:c r="D428" s="11" t="str">
        <x:v>App</x:v>
      </x:c>
      <x:c r="E428" s="11" t="str">
        <x:v>Bebidas</x:v>
      </x:c>
      <x:c r="F428" s="11" t="str">
        <x:v>Bebida fría</x:v>
      </x:c>
      <x:c r="G428" s="11" t="str">
        <x:v>C-0052</x:v>
      </x:c>
      <x:c r="H428" s="11" t="str">
        <x:v>Recurrente</x:v>
      </x:c>
      <x:c r="I428" s="11" t="n">
        <x:v>3</x:v>
      </x:c>
      <x:c r="J428" s="18" t="n">
        <x:v>7600</x:v>
      </x:c>
      <x:c r="K428" s="16" t="n">
        <x:v>0.05</x:v>
      </x:c>
      <x:c r="L428" s="18" t="n">
        <x:v>3800</x:v>
      </x:c>
      <x:c r="M428" s="11" t="str">
        <x:v>Billetera digital</x:v>
      </x:c>
      <x:c r="N428" s="11" t="n">
        <x:v>51</x:v>
      </x:c>
      <x:c r="O428" s="11" t="str">
        <x:v>A tiempo</x:v>
      </x:c>
      <x:c r="P428" s="20" t="n">
        <x:v>4</x:v>
      </x:c>
      <x:c r="Q428" s="18" t="n">
        <x:f>I428*J428</x:f>
        <x:v>22800</x:v>
      </x:c>
      <x:c r="R428" s="18" t="n">
        <x:f>Q428*K428</x:f>
        <x:v>1140</x:v>
      </x:c>
      <x:c r="S428" s="18" t="n">
        <x:f>Q428-R428</x:f>
        <x:v>21660</x:v>
      </x:c>
      <x:c r="T428" s="18" t="n">
        <x:f>I428*L428</x:f>
        <x:v>11400</x:v>
      </x:c>
      <x:c r="U428" s="18" t="n">
        <x:f>S428-T428</x:f>
        <x:v>10260</x:v>
      </x:c>
    </x:row>
    <x:row r="429">
      <x:c r="A429" s="11" t="str">
        <x:v>V-0250</x:v>
      </x:c>
      <x:c r="B429" s="14" t="n">
        <x:v>46237</x:v>
      </x:c>
      <x:c r="C429" s="11" t="str">
        <x:v>Neiva</x:v>
      </x:c>
      <x:c r="D429" s="11" t="str">
        <x:v>Web</x:v>
      </x:c>
      <x:c r="E429" s="11" t="str">
        <x:v>Bebidas</x:v>
      </x:c>
      <x:c r="F429" s="11" t="str">
        <x:v>Bebida fría</x:v>
      </x:c>
      <x:c r="G429" s="11" t="str">
        <x:v>C-0116</x:v>
      </x:c>
      <x:c r="H429" s="11" t="str">
        <x:v>Recurrente</x:v>
      </x:c>
      <x:c r="I429" s="11" t="n">
        <x:v>4</x:v>
      </x:c>
      <x:c r="J429" s="18" t="n">
        <x:v>7800</x:v>
      </x:c>
      <x:c r="K429" s="16" t="n">
        <x:v>0</x:v>
      </x:c>
      <x:c r="L429" s="18" t="n">
        <x:v>4000</x:v>
      </x:c>
      <x:c r="M429" s="11" t="str">
        <x:v>Transferencia</x:v>
      </x:c>
      <x:c r="N429" s="11" t="n">
        <x:v>30</x:v>
      </x:c>
      <x:c r="O429" s="11" t="str">
        <x:v>A tiempo</x:v>
      </x:c>
      <x:c r="P429" s="20" t="n">
        <x:v>4</x:v>
      </x:c>
      <x:c r="Q429" s="18" t="n">
        <x:f>I429*J429</x:f>
        <x:v>31200</x:v>
      </x:c>
      <x:c r="R429" s="18" t="n">
        <x:f>Q429*K429</x:f>
        <x:v>0</x:v>
      </x:c>
      <x:c r="S429" s="18" t="n">
        <x:f>Q429-R429</x:f>
        <x:v>31200</x:v>
      </x:c>
      <x:c r="T429" s="18" t="n">
        <x:f>I429*L429</x:f>
        <x:v>16000</x:v>
      </x:c>
      <x:c r="U429" s="18" t="n">
        <x:f>S429-T429</x:f>
        <x:v>15200</x:v>
      </x:c>
    </x:row>
    <x:row r="430">
      <x:c r="A430" s="11" t="str">
        <x:v>V-0339</x:v>
      </x:c>
      <x:c r="B430" s="14" t="n">
        <x:v>46237</x:v>
      </x:c>
      <x:c r="C430" s="11" t="str">
        <x:v>Cali</x:v>
      </x:c>
      <x:c r="D430" s="11" t="str">
        <x:v>Web</x:v>
      </x:c>
      <x:c r="E430" s="11" t="str">
        <x:v>Bebidas</x:v>
      </x:c>
      <x:c r="F430" s="11" t="str">
        <x:v>Bebida caliente</x:v>
      </x:c>
      <x:c r="G430" s="11" t="str">
        <x:v>C-0116</x:v>
      </x:c>
      <x:c r="H430" s="11" t="str">
        <x:v>Recurrente</x:v>
      </x:c>
      <x:c r="I430" s="11" t="n">
        <x:v>1</x:v>
      </x:c>
      <x:c r="J430" s="18" t="n">
        <x:v>5900</x:v>
      </x:c>
      <x:c r="K430" s="16" t="n">
        <x:v>0.1</x:v>
      </x:c>
      <x:c r="L430" s="18" t="n">
        <x:v>2800</x:v>
      </x:c>
      <x:c r="M430" s="11" t="str">
        <x:v>Tarjeta</x:v>
      </x:c>
      <x:c r="N430" s="11" t="n">
        <x:v>51</x:v>
      </x:c>
      <x:c r="O430" s="11" t="str">
        <x:v>A tiempo</x:v>
      </x:c>
      <x:c r="P430" s="20" t="n">
        <x:v>2</x:v>
      </x:c>
      <x:c r="Q430" s="18" t="n">
        <x:f>I430*J430</x:f>
        <x:v>5900</x:v>
      </x:c>
      <x:c r="R430" s="18" t="n">
        <x:f>Q430*K430</x:f>
        <x:v>590</x:v>
      </x:c>
      <x:c r="S430" s="18" t="n">
        <x:f>Q430-R430</x:f>
        <x:v>5310</x:v>
      </x:c>
      <x:c r="T430" s="18" t="n">
        <x:f>I430*L430</x:f>
        <x:v>2800</x:v>
      </x:c>
      <x:c r="U430" s="18" t="n">
        <x:f>S430-T430</x:f>
        <x:v>2510</x:v>
      </x:c>
    </x:row>
    <x:row r="431">
      <x:c r="A431" s="11" t="str">
        <x:v>V-0163</x:v>
      </x:c>
      <x:c r="B431" s="14" t="n">
        <x:v>46238</x:v>
      </x:c>
      <x:c r="C431" s="11" t="str">
        <x:v>Florencia</x:v>
      </x:c>
      <x:c r="D431" s="11" t="str">
        <x:v>Web</x:v>
      </x:c>
      <x:c r="E431" s="11" t="str">
        <x:v>Alimentos</x:v>
      </x:c>
      <x:c r="F431" s="11" t="str">
        <x:v>Combo almuerzo</x:v>
      </x:c>
      <x:c r="G431" s="11" t="str">
        <x:v>C-0120</x:v>
      </x:c>
      <x:c r="H431" s="11" t="str">
        <x:v>Recurrente</x:v>
      </x:c>
      <x:c r="I431" s="11" t="n">
        <x:v>4</x:v>
      </x:c>
      <x:c r="J431" s="18" t="n">
        <x:v>23400</x:v>
      </x:c>
      <x:c r="K431" s="16" t="n">
        <x:v>0.1</x:v>
      </x:c>
      <x:c r="L431" s="18" t="n">
        <x:v>14600</x:v>
      </x:c>
      <x:c r="M431" s="11" t="str">
        <x:v>Billetera digital</x:v>
      </x:c>
      <x:c r="N431" s="11" t="n">
        <x:v>33</x:v>
      </x:c>
      <x:c r="O431" s="11" t="str">
        <x:v>A tiempo</x:v>
      </x:c>
      <x:c r="P431" s="20" t="n">
        <x:v>3</x:v>
      </x:c>
      <x:c r="Q431" s="18" t="n">
        <x:f>I431*J431</x:f>
        <x:v>93600</x:v>
      </x:c>
      <x:c r="R431" s="18" t="n">
        <x:f>Q431*K431</x:f>
        <x:v>9360</x:v>
      </x:c>
      <x:c r="S431" s="18" t="n">
        <x:f>Q431-R431</x:f>
        <x:v>84240</x:v>
      </x:c>
      <x:c r="T431" s="18" t="n">
        <x:f>I431*L431</x:f>
        <x:v>58400</x:v>
      </x:c>
      <x:c r="U431" s="18" t="n">
        <x:f>S431-T431</x:f>
        <x:v>25840</x:v>
      </x:c>
    </x:row>
    <x:row r="432">
      <x:c r="A432" s="11" t="str">
        <x:v>V-0316</x:v>
      </x:c>
      <x:c r="B432" s="14" t="n">
        <x:v>46238</x:v>
      </x:c>
      <x:c r="C432" s="11" t="str">
        <x:v>Florencia</x:v>
      </x:c>
      <x:c r="D432" s="11" t="str">
        <x:v>Web</x:v>
      </x:c>
      <x:c r="E432" s="11" t="str">
        <x:v>Bebidas</x:v>
      </x:c>
      <x:c r="F432" s="11" t="str">
        <x:v>Bebida premium</x:v>
      </x:c>
      <x:c r="G432" s="11" t="str">
        <x:v>C-0034</x:v>
      </x:c>
      <x:c r="H432" s="11" t="str">
        <x:v>Recurrente</x:v>
      </x:c>
      <x:c r="I432" s="11" t="n">
        <x:v>1</x:v>
      </x:c>
      <x:c r="J432" s="18" t="n">
        <x:v>13400</x:v>
      </x:c>
      <x:c r="K432" s="16" t="n">
        <x:v>0.1</x:v>
      </x:c>
      <x:c r="L432" s="18" t="n">
        <x:v>7600</x:v>
      </x:c>
      <x:c r="M432" s="11" t="str">
        <x:v>Billetera digital</x:v>
      </x:c>
      <x:c r="N432" s="11" t="n">
        <x:v>37</x:v>
      </x:c>
      <x:c r="O432" s="11" t="str">
        <x:v>A tiempo</x:v>
      </x:c>
      <x:c r="P432" s="20" t="n">
        <x:v>4</x:v>
      </x:c>
      <x:c r="Q432" s="18" t="n">
        <x:f>I432*J432</x:f>
        <x:v>13400</x:v>
      </x:c>
      <x:c r="R432" s="18" t="n">
        <x:f>Q432*K432</x:f>
        <x:v>1340</x:v>
      </x:c>
      <x:c r="S432" s="18" t="n">
        <x:f>Q432-R432</x:f>
        <x:v>12060</x:v>
      </x:c>
      <x:c r="T432" s="18" t="n">
        <x:f>I432*L432</x:f>
        <x:v>7600</x:v>
      </x:c>
      <x:c r="U432" s="18" t="n">
        <x:f>S432-T432</x:f>
        <x:v>4460</x:v>
      </x:c>
    </x:row>
    <x:row r="433">
      <x:c r="A433" s="11" t="str">
        <x:v>V-0400</x:v>
      </x:c>
      <x:c r="B433" s="14" t="n">
        <x:v>46239</x:v>
      </x:c>
      <x:c r="C433" s="11" t="str">
        <x:v>Medellín</x:v>
      </x:c>
      <x:c r="D433" s="11" t="str">
        <x:v>App</x:v>
      </x:c>
      <x:c r="E433" s="11" t="str">
        <x:v>Bebidas</x:v>
      </x:c>
      <x:c r="F433" s="11" t="str">
        <x:v>Bebida premium</x:v>
      </x:c>
      <x:c r="G433" s="11" t="str">
        <x:v>C-0068</x:v>
      </x:c>
      <x:c r="H433" s="11" t="str">
        <x:v>Recurrente</x:v>
      </x:c>
      <x:c r="I433" s="11" t="n">
        <x:v>5</x:v>
      </x:c>
      <x:c r="J433" s="18" t="n">
        <x:v>13400</x:v>
      </x:c>
      <x:c r="K433" s="16" t="n">
        <x:v>0</x:v>
      </x:c>
      <x:c r="L433" s="18" t="n">
        <x:v>7300</x:v>
      </x:c>
      <x:c r="M433" s="11" t="str">
        <x:v>Tarjeta</x:v>
      </x:c>
      <x:c r="N433" s="11" t="n">
        <x:v>61</x:v>
      </x:c>
      <x:c r="O433" s="11" t="str">
        <x:v>Tardía</x:v>
      </x:c>
      <x:c r="P433" s="20" t="n">
        <x:v>4</x:v>
      </x:c>
      <x:c r="Q433" s="18" t="n">
        <x:f>I433*J433</x:f>
        <x:v>67000</x:v>
      </x:c>
      <x:c r="R433" s="18" t="n">
        <x:f>Q433*K433</x:f>
        <x:v>0</x:v>
      </x:c>
      <x:c r="S433" s="18" t="n">
        <x:f>Q433-R433</x:f>
        <x:v>67000</x:v>
      </x:c>
      <x:c r="T433" s="18" t="n">
        <x:f>I433*L433</x:f>
        <x:v>36500</x:v>
      </x:c>
      <x:c r="U433" s="18" t="n">
        <x:f>S433-T433</x:f>
        <x:v>30500</x:v>
      </x:c>
    </x:row>
    <x:row r="434">
      <x:c r="A434" s="11" t="str">
        <x:v>V-0402</x:v>
      </x:c>
      <x:c r="B434" s="14" t="n">
        <x:v>46239</x:v>
      </x:c>
      <x:c r="C434" s="11" t="str">
        <x:v>Florencia</x:v>
      </x:c>
      <x:c r="D434" s="11" t="str">
        <x:v>App</x:v>
      </x:c>
      <x:c r="E434" s="11" t="str">
        <x:v>Bebidas</x:v>
      </x:c>
      <x:c r="F434" s="11" t="str">
        <x:v>Bebida premium</x:v>
      </x:c>
      <x:c r="G434" s="11" t="str">
        <x:v>C-0054</x:v>
      </x:c>
      <x:c r="H434" s="11" t="str">
        <x:v>Recurrente</x:v>
      </x:c>
      <x:c r="I434" s="11" t="n">
        <x:v>4</x:v>
      </x:c>
      <x:c r="J434" s="18" t="n">
        <x:v>13600</x:v>
      </x:c>
      <x:c r="K434" s="16" t="n">
        <x:v>0</x:v>
      </x:c>
      <x:c r="L434" s="18" t="n">
        <x:v>7900</x:v>
      </x:c>
      <x:c r="M434" s="11" t="str">
        <x:v>Billetera digital</x:v>
      </x:c>
      <x:c r="N434" s="11" t="n">
        <x:v>57</x:v>
      </x:c>
      <x:c r="O434" s="11" t="str">
        <x:v>A tiempo</x:v>
      </x:c>
      <x:c r="P434" s="20" t="n">
        <x:v>3</x:v>
      </x:c>
      <x:c r="Q434" s="18" t="n">
        <x:f>I434*J434</x:f>
        <x:v>54400</x:v>
      </x:c>
      <x:c r="R434" s="18" t="n">
        <x:f>Q434*K434</x:f>
        <x:v>0</x:v>
      </x:c>
      <x:c r="S434" s="18" t="n">
        <x:f>Q434-R434</x:f>
        <x:v>54400</x:v>
      </x:c>
      <x:c r="T434" s="18" t="n">
        <x:f>I434*L434</x:f>
        <x:v>31600</x:v>
      </x:c>
      <x:c r="U434" s="18" t="n">
        <x:f>S434-T434</x:f>
        <x:v>22800</x:v>
      </x:c>
    </x:row>
    <x:row r="435">
      <x:c r="A435" s="11" t="str">
        <x:v>V-0028</x:v>
      </x:c>
      <x:c r="B435" s="14" t="n">
        <x:v>46240</x:v>
      </x:c>
      <x:c r="C435" s="11" t="str">
        <x:v>Neiva</x:v>
      </x:c>
      <x:c r="D435" s="11" t="str">
        <x:v>Tienda</x:v>
      </x:c>
      <x:c r="E435" s="11" t="str">
        <x:v>Bebidas</x:v>
      </x:c>
      <x:c r="F435" s="11" t="str">
        <x:v>Bebida fría</x:v>
      </x:c>
      <x:c r="G435" s="11" t="str">
        <x:v>C-0065</x:v>
      </x:c>
      <x:c r="H435" s="11" t="str">
        <x:v>Nuevo</x:v>
      </x:c>
      <x:c r="I435" s="11" t="n">
        <x:v>5</x:v>
      </x:c>
      <x:c r="J435" s="18" t="n">
        <x:v>7700</x:v>
      </x:c>
      <x:c r="K435" s="16" t="n">
        <x:v>0.05</x:v>
      </x:c>
      <x:c r="L435" s="18" t="n">
        <x:v>3900</x:v>
      </x:c>
      <x:c r="M435" s="11" t="str">
        <x:v>Efectivo</x:v>
      </x:c>
      <x:c r="N435" s="11" t="n">
        <x:v>0</x:v>
      </x:c>
      <x:c r="O435" s="11" t="str">
        <x:v>No aplica</x:v>
      </x:c>
      <x:c r="P435" s="20" t="n">
        <x:v>5</x:v>
      </x:c>
      <x:c r="Q435" s="18" t="n">
        <x:f>I435*J435</x:f>
        <x:v>38500</x:v>
      </x:c>
      <x:c r="R435" s="18" t="n">
        <x:f>Q435*K435</x:f>
        <x:v>1925</x:v>
      </x:c>
      <x:c r="S435" s="18" t="n">
        <x:f>Q435-R435</x:f>
        <x:v>36575</x:v>
      </x:c>
      <x:c r="T435" s="18" t="n">
        <x:f>I435*L435</x:f>
        <x:v>19500</x:v>
      </x:c>
      <x:c r="U435" s="18" t="n">
        <x:f>S435-T435</x:f>
        <x:v>17075</x:v>
      </x:c>
    </x:row>
    <x:row r="436">
      <x:c r="A436" s="11" t="str">
        <x:v>V-0193</x:v>
      </x:c>
      <x:c r="B436" s="14" t="n">
        <x:v>46240</x:v>
      </x:c>
      <x:c r="C436" s="11" t="str">
        <x:v>Medellín</x:v>
      </x:c>
      <x:c r="D436" s="11" t="str">
        <x:v>Web</x:v>
      </x:c>
      <x:c r="E436" s="11" t="str">
        <x:v>Bebidas</x:v>
      </x:c>
      <x:c r="F436" s="11" t="str">
        <x:v>Bebida fría</x:v>
      </x:c>
      <x:c r="G436" s="11" t="str">
        <x:v>C-0061</x:v>
      </x:c>
      <x:c r="H436" s="11" t="str">
        <x:v>Recurrente</x:v>
      </x:c>
      <x:c r="I436" s="11" t="n">
        <x:v>1</x:v>
      </x:c>
      <x:c r="J436" s="18" t="n">
        <x:v>6700</x:v>
      </x:c>
      <x:c r="K436" s="16" t="n">
        <x:v>0.1</x:v>
      </x:c>
      <x:c r="L436" s="18" t="n">
        <x:v>3500</x:v>
      </x:c>
      <x:c r="M436" s="11" t="str">
        <x:v>Tarjeta</x:v>
      </x:c>
      <x:c r="N436" s="11" t="n">
        <x:v>74</x:v>
      </x:c>
      <x:c r="O436" s="11" t="str">
        <x:v>Tardía</x:v>
      </x:c>
      <x:c r="P436" s="20" t="n">
        <x:v>2</x:v>
      </x:c>
      <x:c r="Q436" s="18" t="n">
        <x:f>I436*J436</x:f>
        <x:v>6700</x:v>
      </x:c>
      <x:c r="R436" s="18" t="n">
        <x:f>Q436*K436</x:f>
        <x:v>670</x:v>
      </x:c>
      <x:c r="S436" s="18" t="n">
        <x:f>Q436-R436</x:f>
        <x:v>6030</x:v>
      </x:c>
      <x:c r="T436" s="18" t="n">
        <x:f>I436*L436</x:f>
        <x:v>3500</x:v>
      </x:c>
      <x:c r="U436" s="18" t="n">
        <x:f>S436-T436</x:f>
        <x:v>2530</x:v>
      </x:c>
    </x:row>
    <x:row r="437">
      <x:c r="A437" s="11" t="str">
        <x:v>V-0081</x:v>
      </x:c>
      <x:c r="B437" s="14" t="n">
        <x:v>46241</x:v>
      </x:c>
      <x:c r="C437" s="11" t="str">
        <x:v>Medellín</x:v>
      </x:c>
      <x:c r="D437" s="11" t="str">
        <x:v>App</x:v>
      </x:c>
      <x:c r="E437" s="11" t="str">
        <x:v>Bebidas</x:v>
      </x:c>
      <x:c r="F437" s="11" t="str">
        <x:v>Bebida fría</x:v>
      </x:c>
      <x:c r="G437" s="11" t="str">
        <x:v>C-0006</x:v>
      </x:c>
      <x:c r="H437" s="11" t="str">
        <x:v>Recurrente</x:v>
      </x:c>
      <x:c r="I437" s="11" t="n">
        <x:v>4</x:v>
      </x:c>
      <x:c r="J437" s="18" t="n">
        <x:v>7100</x:v>
      </x:c>
      <x:c r="K437" s="16" t="n">
        <x:v>0</x:v>
      </x:c>
      <x:c r="L437" s="18" t="n">
        <x:v>3800</x:v>
      </x:c>
      <x:c r="M437" s="11" t="str">
        <x:v>Billetera digital</x:v>
      </x:c>
      <x:c r="N437" s="11" t="n">
        <x:v>43</x:v>
      </x:c>
      <x:c r="O437" s="11" t="str">
        <x:v>A tiempo</x:v>
      </x:c>
      <x:c r="P437" s="20" t="n">
        <x:v>3</x:v>
      </x:c>
      <x:c r="Q437" s="18" t="n">
        <x:f>I437*J437</x:f>
        <x:v>28400</x:v>
      </x:c>
      <x:c r="R437" s="18" t="n">
        <x:f>Q437*K437</x:f>
        <x:v>0</x:v>
      </x:c>
      <x:c r="S437" s="18" t="n">
        <x:f>Q437-R437</x:f>
        <x:v>28400</x:v>
      </x:c>
      <x:c r="T437" s="18" t="n">
        <x:f>I437*L437</x:f>
        <x:v>15200</x:v>
      </x:c>
      <x:c r="U437" s="18" t="n">
        <x:f>S437-T437</x:f>
        <x:v>13200</x:v>
      </x:c>
    </x:row>
    <x:row r="438">
      <x:c r="A438" s="11" t="str">
        <x:v>V-0202</x:v>
      </x:c>
      <x:c r="B438" s="14" t="n">
        <x:v>46241</x:v>
      </x:c>
      <x:c r="C438" s="11" t="str">
        <x:v>Medellín</x:v>
      </x:c>
      <x:c r="D438" s="11" t="str">
        <x:v>Web</x:v>
      </x:c>
      <x:c r="E438" s="11" t="str">
        <x:v>Bebidas</x:v>
      </x:c>
      <x:c r="F438" s="11" t="str">
        <x:v>Bebida fría</x:v>
      </x:c>
      <x:c r="G438" s="11" t="str">
        <x:v>C-0115</x:v>
      </x:c>
      <x:c r="H438" s="11" t="str">
        <x:v>Nuevo</x:v>
      </x:c>
      <x:c r="I438" s="11" t="n">
        <x:v>1</x:v>
      </x:c>
      <x:c r="J438" s="18" t="n">
        <x:v>7100</x:v>
      </x:c>
      <x:c r="K438" s="16" t="n">
        <x:v>0.1</x:v>
      </x:c>
      <x:c r="L438" s="18" t="n">
        <x:v>3600</x:v>
      </x:c>
      <x:c r="M438" s="11" t="str">
        <x:v>Billetera digital</x:v>
      </x:c>
      <x:c r="N438" s="11" t="n">
        <x:v>36</x:v>
      </x:c>
      <x:c r="O438" s="11" t="str">
        <x:v>A tiempo</x:v>
      </x:c>
      <x:c r="P438" s="20" t="n">
        <x:v>5</x:v>
      </x:c>
      <x:c r="Q438" s="18" t="n">
        <x:f>I438*J438</x:f>
        <x:v>7100</x:v>
      </x:c>
      <x:c r="R438" s="18" t="n">
        <x:f>Q438*K438</x:f>
        <x:v>710</x:v>
      </x:c>
      <x:c r="S438" s="18" t="n">
        <x:f>Q438-R438</x:f>
        <x:v>6390</x:v>
      </x:c>
      <x:c r="T438" s="18" t="n">
        <x:f>I438*L438</x:f>
        <x:v>3600</x:v>
      </x:c>
      <x:c r="U438" s="18" t="n">
        <x:f>S438-T438</x:f>
        <x:v>2790</x:v>
      </x:c>
    </x:row>
    <x:row r="439">
      <x:c r="A439" s="11" t="str">
        <x:v>V-0258</x:v>
      </x:c>
      <x:c r="B439" s="14" t="n">
        <x:v>46241</x:v>
      </x:c>
      <x:c r="C439" s="11" t="str">
        <x:v>Bogotá</x:v>
      </x:c>
      <x:c r="D439" s="11" t="str">
        <x:v>Web</x:v>
      </x:c>
      <x:c r="E439" s="11" t="str">
        <x:v>Alimentos</x:v>
      </x:c>
      <x:c r="F439" s="11" t="str">
        <x:v>Combo almuerzo</x:v>
      </x:c>
      <x:c r="G439" s="11" t="str">
        <x:v>C-0076</x:v>
      </x:c>
      <x:c r="H439" s="11" t="str">
        <x:v>Recurrente</x:v>
      </x:c>
      <x:c r="I439" s="11" t="n">
        <x:v>4</x:v>
      </x:c>
      <x:c r="J439" s="18" t="n">
        <x:v>23300</x:v>
      </x:c>
      <x:c r="K439" s="16" t="n">
        <x:v>0</x:v>
      </x:c>
      <x:c r="L439" s="18" t="n">
        <x:v>13400</x:v>
      </x:c>
      <x:c r="M439" s="11" t="str">
        <x:v>Efectivo</x:v>
      </x:c>
      <x:c r="N439" s="11" t="n">
        <x:v>64</x:v>
      </x:c>
      <x:c r="O439" s="11" t="str">
        <x:v>Tardía</x:v>
      </x:c>
      <x:c r="P439" s="20" t="n">
        <x:v>4</x:v>
      </x:c>
      <x:c r="Q439" s="18" t="n">
        <x:f>I439*J439</x:f>
        <x:v>93200</x:v>
      </x:c>
      <x:c r="R439" s="18" t="n">
        <x:f>Q439*K439</x:f>
        <x:v>0</x:v>
      </x:c>
      <x:c r="S439" s="18" t="n">
        <x:f>Q439-R439</x:f>
        <x:v>93200</x:v>
      </x:c>
      <x:c r="T439" s="18" t="n">
        <x:f>I439*L439</x:f>
        <x:v>53600</x:v>
      </x:c>
      <x:c r="U439" s="18" t="n">
        <x:f>S439-T439</x:f>
        <x:v>39600</x:v>
      </x:c>
    </x:row>
    <x:row r="440">
      <x:c r="A440" s="11" t="str">
        <x:v>V-0335</x:v>
      </x:c>
      <x:c r="B440" s="14" t="n">
        <x:v>46241</x:v>
      </x:c>
      <x:c r="C440" s="11" t="str">
        <x:v>Neiva</x:v>
      </x:c>
      <x:c r="D440" s="11" t="str">
        <x:v>Web</x:v>
      </x:c>
      <x:c r="E440" s="11" t="str">
        <x:v>Hogar</x:v>
      </x:c>
      <x:c r="F440" s="11" t="str">
        <x:v>Organizador</x:v>
      </x:c>
      <x:c r="G440" s="11" t="str">
        <x:v>C-0032</x:v>
      </x:c>
      <x:c r="H440" s="11" t="str">
        <x:v>Recurrente</x:v>
      </x:c>
      <x:c r="I440" s="11" t="n">
        <x:v>2</x:v>
      </x:c>
      <x:c r="J440" s="18" t="n">
        <x:v>35000</x:v>
      </x:c>
      <x:c r="K440" s="16" t="n">
        <x:v>0.05</x:v>
      </x:c>
      <x:c r="L440" s="18" t="n">
        <x:v>21600</x:v>
      </x:c>
      <x:c r="M440" s="11" t="str">
        <x:v>Efectivo</x:v>
      </x:c>
      <x:c r="N440" s="11" t="n">
        <x:v>20</x:v>
      </x:c>
      <x:c r="O440" s="11" t="str">
        <x:v>A tiempo</x:v>
      </x:c>
      <x:c r="P440" s="20" t="n">
        <x:v>4</x:v>
      </x:c>
      <x:c r="Q440" s="18" t="n">
        <x:f>I440*J440</x:f>
        <x:v>70000</x:v>
      </x:c>
      <x:c r="R440" s="18" t="n">
        <x:f>Q440*K440</x:f>
        <x:v>3500</x:v>
      </x:c>
      <x:c r="S440" s="18" t="n">
        <x:f>Q440-R440</x:f>
        <x:v>66500</x:v>
      </x:c>
      <x:c r="T440" s="18" t="n">
        <x:f>I440*L440</x:f>
        <x:v>43200</x:v>
      </x:c>
      <x:c r="U440" s="18" t="n">
        <x:f>S440-T440</x:f>
        <x:v>23300</x:v>
      </x:c>
    </x:row>
    <x:row r="441">
      <x:c r="A441" s="11" t="str">
        <x:v>V-0365</x:v>
      </x:c>
      <x:c r="B441" s="14" t="n">
        <x:v>46241</x:v>
      </x:c>
      <x:c r="C441" s="11" t="str">
        <x:v>Medellín</x:v>
      </x:c>
      <x:c r="D441" s="11" t="str">
        <x:v>Tienda</x:v>
      </x:c>
      <x:c r="E441" s="11" t="str">
        <x:v>Cuidado personal</x:v>
      </x:c>
      <x:c r="F441" s="11" t="str">
        <x:v>Producto bienestar</x:v>
      </x:c>
      <x:c r="G441" s="11" t="str">
        <x:v>C-0018</x:v>
      </x:c>
      <x:c r="H441" s="11" t="str">
        <x:v>Recurrente</x:v>
      </x:c>
      <x:c r="I441" s="11" t="n">
        <x:v>1</x:v>
      </x:c>
      <x:c r="J441" s="18" t="n">
        <x:v>29900</x:v>
      </x:c>
      <x:c r="K441" s="16" t="n">
        <x:v>0</x:v>
      </x:c>
      <x:c r="L441" s="18" t="n">
        <x:v>17900</x:v>
      </x:c>
      <x:c r="M441" s="11" t="str">
        <x:v>Efectivo</x:v>
      </x:c>
      <x:c r="N441" s="11" t="n">
        <x:v>0</x:v>
      </x:c>
      <x:c r="O441" s="11" t="str">
        <x:v>No aplica</x:v>
      </x:c>
      <x:c r="P441" s="20" t="n">
        <x:v>4</x:v>
      </x:c>
      <x:c r="Q441" s="18" t="n">
        <x:f>I441*J441</x:f>
        <x:v>29900</x:v>
      </x:c>
      <x:c r="R441" s="18" t="n">
        <x:f>Q441*K441</x:f>
        <x:v>0</x:v>
      </x:c>
      <x:c r="S441" s="18" t="n">
        <x:f>Q441-R441</x:f>
        <x:v>29900</x:v>
      </x:c>
      <x:c r="T441" s="18" t="n">
        <x:f>I441*L441</x:f>
        <x:v>17900</x:v>
      </x:c>
      <x:c r="U441" s="18" t="n">
        <x:f>S441-T441</x:f>
        <x:v>12000</x:v>
      </x:c>
    </x:row>
    <x:row r="442">
      <x:c r="A442" s="11" t="str">
        <x:v>V-0420</x:v>
      </x:c>
      <x:c r="B442" s="14" t="n">
        <x:v>46241</x:v>
      </x:c>
      <x:c r="C442" s="11" t="str">
        <x:v>Florencia</x:v>
      </x:c>
      <x:c r="D442" s="11" t="str">
        <x:v>App</x:v>
      </x:c>
      <x:c r="E442" s="11" t="str">
        <x:v>Bebidas</x:v>
      </x:c>
      <x:c r="F442" s="11" t="str">
        <x:v>Bebida fría</x:v>
      </x:c>
      <x:c r="G442" s="11" t="str">
        <x:v>C-0055</x:v>
      </x:c>
      <x:c r="H442" s="11" t="str">
        <x:v>Recurrente</x:v>
      </x:c>
      <x:c r="I442" s="11" t="n">
        <x:v>5</x:v>
      </x:c>
      <x:c r="J442" s="18" t="n">
        <x:v>6800</x:v>
      </x:c>
      <x:c r="K442" s="16" t="n">
        <x:v>0.15</x:v>
      </x:c>
      <x:c r="L442" s="18" t="n">
        <x:v>3600</x:v>
      </x:c>
      <x:c r="M442" s="11" t="str">
        <x:v>Transferencia</x:v>
      </x:c>
      <x:c r="N442" s="11" t="n">
        <x:v>52</x:v>
      </x:c>
      <x:c r="O442" s="11" t="str">
        <x:v>A tiempo</x:v>
      </x:c>
      <x:c r="P442" s="20" t="n">
        <x:v>5</x:v>
      </x:c>
      <x:c r="Q442" s="18" t="n">
        <x:f>I442*J442</x:f>
        <x:v>34000</x:v>
      </x:c>
      <x:c r="R442" s="18" t="n">
        <x:f>Q442*K442</x:f>
        <x:v>5100</x:v>
      </x:c>
      <x:c r="S442" s="18" t="n">
        <x:f>Q442-R442</x:f>
        <x:v>28900</x:v>
      </x:c>
      <x:c r="T442" s="18" t="n">
        <x:f>I442*L442</x:f>
        <x:v>18000</x:v>
      </x:c>
      <x:c r="U442" s="18" t="n">
        <x:f>S442-T442</x:f>
        <x:v>10900</x:v>
      </x:c>
    </x:row>
    <x:row r="443">
      <x:c r="A443" s="11" t="str">
        <x:v>V-0044</x:v>
      </x:c>
      <x:c r="B443" s="14" t="n">
        <x:v>46242</x:v>
      </x:c>
      <x:c r="C443" s="11" t="str">
        <x:v>Medellín</x:v>
      </x:c>
      <x:c r="D443" s="11" t="str">
        <x:v>Tienda</x:v>
      </x:c>
      <x:c r="E443" s="11" t="str">
        <x:v>Cuidado personal</x:v>
      </x:c>
      <x:c r="F443" s="11" t="str">
        <x:v>Producto bienestar</x:v>
      </x:c>
      <x:c r="G443" s="11" t="str">
        <x:v>C-0041</x:v>
      </x:c>
      <x:c r="H443" s="11" t="str">
        <x:v>Nuevo</x:v>
      </x:c>
      <x:c r="I443" s="11" t="n">
        <x:v>5</x:v>
      </x:c>
      <x:c r="J443" s="18" t="n">
        <x:v>32500</x:v>
      </x:c>
      <x:c r="K443" s="16" t="n">
        <x:v>0</x:v>
      </x:c>
      <x:c r="L443" s="18" t="n">
        <x:v>18700</x:v>
      </x:c>
      <x:c r="M443" s="11" t="str">
        <x:v>Tarjeta</x:v>
      </x:c>
      <x:c r="N443" s="11" t="n">
        <x:v>0</x:v>
      </x:c>
      <x:c r="O443" s="11" t="str">
        <x:v>No aplica</x:v>
      </x:c>
      <x:c r="P443" s="20" t="n">
        <x:v>4</x:v>
      </x:c>
      <x:c r="Q443" s="18" t="n">
        <x:f>I443*J443</x:f>
        <x:v>162500</x:v>
      </x:c>
      <x:c r="R443" s="18" t="n">
        <x:f>Q443*K443</x:f>
        <x:v>0</x:v>
      </x:c>
      <x:c r="S443" s="18" t="n">
        <x:f>Q443-R443</x:f>
        <x:v>162500</x:v>
      </x:c>
      <x:c r="T443" s="18" t="n">
        <x:f>I443*L443</x:f>
        <x:v>93500</x:v>
      </x:c>
      <x:c r="U443" s="18" t="n">
        <x:f>S443-T443</x:f>
        <x:v>69000</x:v>
      </x:c>
    </x:row>
    <x:row r="444">
      <x:c r="A444" s="11" t="str">
        <x:v>V-0055</x:v>
      </x:c>
      <x:c r="B444" s="14" t="n">
        <x:v>46242</x:v>
      </x:c>
      <x:c r="C444" s="11" t="str">
        <x:v>Ibagué</x:v>
      </x:c>
      <x:c r="D444" s="11" t="str">
        <x:v>App</x:v>
      </x:c>
      <x:c r="E444" s="11" t="str">
        <x:v>Hogar</x:v>
      </x:c>
      <x:c r="F444" s="11" t="str">
        <x:v>Organizador</x:v>
      </x:c>
      <x:c r="G444" s="11" t="str">
        <x:v>C-0068</x:v>
      </x:c>
      <x:c r="H444" s="11" t="str">
        <x:v>Nuevo</x:v>
      </x:c>
      <x:c r="I444" s="11" t="n">
        <x:v>3</x:v>
      </x:c>
      <x:c r="J444" s="18" t="n">
        <x:v>35000</x:v>
      </x:c>
      <x:c r="K444" s="16" t="n">
        <x:v>0.1</x:v>
      </x:c>
      <x:c r="L444" s="18" t="n">
        <x:v>20600</x:v>
      </x:c>
      <x:c r="M444" s="11" t="str">
        <x:v>Transferencia</x:v>
      </x:c>
      <x:c r="N444" s="11" t="n">
        <x:v>49</x:v>
      </x:c>
      <x:c r="O444" s="11" t="str">
        <x:v>A tiempo</x:v>
      </x:c>
      <x:c r="P444" s="20" t="n">
        <x:v>4</x:v>
      </x:c>
      <x:c r="Q444" s="18" t="n">
        <x:f>I444*J444</x:f>
        <x:v>105000</x:v>
      </x:c>
      <x:c r="R444" s="18" t="n">
        <x:f>Q444*K444</x:f>
        <x:v>10500</x:v>
      </x:c>
      <x:c r="S444" s="18" t="n">
        <x:f>Q444-R444</x:f>
        <x:v>94500</x:v>
      </x:c>
      <x:c r="T444" s="18" t="n">
        <x:f>I444*L444</x:f>
        <x:v>61800</x:v>
      </x:c>
      <x:c r="U444" s="18" t="n">
        <x:f>S444-T444</x:f>
        <x:v>32700</x:v>
      </x:c>
    </x:row>
    <x:row r="445">
      <x:c r="A445" s="11" t="str">
        <x:v>V-0062</x:v>
      </x:c>
      <x:c r="B445" s="14" t="n">
        <x:v>46243</x:v>
      </x:c>
      <x:c r="C445" s="11" t="str">
        <x:v>Cali</x:v>
      </x:c>
      <x:c r="D445" s="11" t="str">
        <x:v>Tienda</x:v>
      </x:c>
      <x:c r="E445" s="11" t="str">
        <x:v>Alimentos</x:v>
      </x:c>
      <x:c r="F445" s="11" t="str">
        <x:v>Snack saludable</x:v>
      </x:c>
      <x:c r="G445" s="11" t="str">
        <x:v>C-0076</x:v>
      </x:c>
      <x:c r="H445" s="11" t="str">
        <x:v>Nuevo</x:v>
      </x:c>
      <x:c r="I445" s="11" t="n">
        <x:v>2</x:v>
      </x:c>
      <x:c r="J445" s="18" t="n">
        <x:v>7700</x:v>
      </x:c>
      <x:c r="K445" s="16" t="n">
        <x:v>0</x:v>
      </x:c>
      <x:c r="L445" s="18" t="n">
        <x:v>4400</x:v>
      </x:c>
      <x:c r="M445" s="11" t="str">
        <x:v>Efectivo</x:v>
      </x:c>
      <x:c r="N445" s="11" t="n">
        <x:v>0</x:v>
      </x:c>
      <x:c r="O445" s="11" t="str">
        <x:v>No aplica</x:v>
      </x:c>
      <x:c r="P445" s="20" t="n">
        <x:v>5</x:v>
      </x:c>
      <x:c r="Q445" s="18" t="n">
        <x:f>I445*J445</x:f>
        <x:v>15400</x:v>
      </x:c>
      <x:c r="R445" s="18" t="n">
        <x:f>Q445*K445</x:f>
        <x:v>0</x:v>
      </x:c>
      <x:c r="S445" s="18" t="n">
        <x:f>Q445-R445</x:f>
        <x:v>15400</x:v>
      </x:c>
      <x:c r="T445" s="18" t="n">
        <x:f>I445*L445</x:f>
        <x:v>8800</x:v>
      </x:c>
      <x:c r="U445" s="18" t="n">
        <x:f>S445-T445</x:f>
        <x:v>6600</x:v>
      </x:c>
    </x:row>
    <x:row r="446">
      <x:c r="A446" s="11" t="str">
        <x:v>V-0233</x:v>
      </x:c>
      <x:c r="B446" s="14" t="n">
        <x:v>46243</x:v>
      </x:c>
      <x:c r="C446" s="11" t="str">
        <x:v>Neiva</x:v>
      </x:c>
      <x:c r="D446" s="11" t="str">
        <x:v>App</x:v>
      </x:c>
      <x:c r="E446" s="11" t="str">
        <x:v>Cuidado personal</x:v>
      </x:c>
      <x:c r="F446" s="11" t="str">
        <x:v>Accesorio personal</x:v>
      </x:c>
      <x:c r="G446" s="11" t="str">
        <x:v>C-0055</x:v>
      </x:c>
      <x:c r="H446" s="11" t="str">
        <x:v>Recurrente</x:v>
      </x:c>
      <x:c r="I446" s="11" t="n">
        <x:v>3</x:v>
      </x:c>
      <x:c r="J446" s="18" t="n">
        <x:v>17000</x:v>
      </x:c>
      <x:c r="K446" s="16" t="n">
        <x:v>0</x:v>
      </x:c>
      <x:c r="L446" s="18" t="n">
        <x:v>9300</x:v>
      </x:c>
      <x:c r="M446" s="11" t="str">
        <x:v>Efectivo</x:v>
      </x:c>
      <x:c r="N446" s="11" t="n">
        <x:v>53</x:v>
      </x:c>
      <x:c r="O446" s="11" t="str">
        <x:v>A tiempo</x:v>
      </x:c>
      <x:c r="P446" s="20" t="n">
        <x:v>5</x:v>
      </x:c>
      <x:c r="Q446" s="18" t="n">
        <x:f>I446*J446</x:f>
        <x:v>51000</x:v>
      </x:c>
      <x:c r="R446" s="18" t="n">
        <x:f>Q446*K446</x:f>
        <x:v>0</x:v>
      </x:c>
      <x:c r="S446" s="18" t="n">
        <x:f>Q446-R446</x:f>
        <x:v>51000</x:v>
      </x:c>
      <x:c r="T446" s="18" t="n">
        <x:f>I446*L446</x:f>
        <x:v>27900</x:v>
      </x:c>
      <x:c r="U446" s="18" t="n">
        <x:f>S446-T446</x:f>
        <x:v>23100</x:v>
      </x:c>
    </x:row>
    <x:row r="447">
      <x:c r="A447" s="11" t="str">
        <x:v>V-0194</x:v>
      </x:c>
      <x:c r="B447" s="14" t="n">
        <x:v>46244</x:v>
      </x:c>
      <x:c r="C447" s="11" t="str">
        <x:v>Medellín</x:v>
      </x:c>
      <x:c r="D447" s="11" t="str">
        <x:v>App</x:v>
      </x:c>
      <x:c r="E447" s="11" t="str">
        <x:v>Alimentos</x:v>
      </x:c>
      <x:c r="F447" s="11" t="str">
        <x:v>Combo almuerzo</x:v>
      </x:c>
      <x:c r="G447" s="11" t="str">
        <x:v>C-0021</x:v>
      </x:c>
      <x:c r="H447" s="11" t="str">
        <x:v>Recurrente</x:v>
      </x:c>
      <x:c r="I447" s="11" t="n">
        <x:v>2</x:v>
      </x:c>
      <x:c r="J447" s="18" t="n">
        <x:v>21800</x:v>
      </x:c>
      <x:c r="K447" s="16" t="n">
        <x:v>0.15</x:v>
      </x:c>
      <x:c r="L447" s="18" t="n">
        <x:v>13300</x:v>
      </x:c>
      <x:c r="M447" s="11" t="str">
        <x:v>Tarjeta</x:v>
      </x:c>
      <x:c r="N447" s="11" t="n">
        <x:v>71</x:v>
      </x:c>
      <x:c r="O447" s="11" t="str">
        <x:v>Tardía</x:v>
      </x:c>
      <x:c r="P447" s="20" t="n">
        <x:v>4</x:v>
      </x:c>
      <x:c r="Q447" s="18" t="n">
        <x:f>I447*J447</x:f>
        <x:v>43600</x:v>
      </x:c>
      <x:c r="R447" s="18" t="n">
        <x:f>Q447*K447</x:f>
        <x:v>6540</x:v>
      </x:c>
      <x:c r="S447" s="18" t="n">
        <x:f>Q447-R447</x:f>
        <x:v>37060</x:v>
      </x:c>
      <x:c r="T447" s="18" t="n">
        <x:f>I447*L447</x:f>
        <x:v>26600</x:v>
      </x:c>
      <x:c r="U447" s="18" t="n">
        <x:f>S447-T447</x:f>
        <x:v>10460</x:v>
      </x:c>
    </x:row>
    <x:row r="448">
      <x:c r="A448" s="11" t="str">
        <x:v>V-0033</x:v>
      </x:c>
      <x:c r="B448" s="14" t="n">
        <x:v>46245</x:v>
      </x:c>
      <x:c r="C448" s="11" t="str">
        <x:v>Cali</x:v>
      </x:c>
      <x:c r="D448" s="11" t="str">
        <x:v>Web</x:v>
      </x:c>
      <x:c r="E448" s="11" t="str">
        <x:v>Bebidas</x:v>
      </x:c>
      <x:c r="F448" s="11" t="str">
        <x:v>Bebida fría</x:v>
      </x:c>
      <x:c r="G448" s="11" t="str">
        <x:v>C-0029</x:v>
      </x:c>
      <x:c r="H448" s="11" t="str">
        <x:v>Recurrente</x:v>
      </x:c>
      <x:c r="I448" s="11" t="n">
        <x:v>4</x:v>
      </x:c>
      <x:c r="J448" s="18" t="n">
        <x:v>6700</x:v>
      </x:c>
      <x:c r="K448" s="16" t="n">
        <x:v>0.15</x:v>
      </x:c>
      <x:c r="L448" s="18" t="n">
        <x:v>3500</x:v>
      </x:c>
      <x:c r="M448" s="11" t="str">
        <x:v>Tarjeta</x:v>
      </x:c>
      <x:c r="N448" s="11" t="n">
        <x:v>54</x:v>
      </x:c>
      <x:c r="O448" s="11" t="str">
        <x:v>A tiempo</x:v>
      </x:c>
      <x:c r="P448" s="20" t="n">
        <x:v>5</x:v>
      </x:c>
      <x:c r="Q448" s="18" t="n">
        <x:f>I448*J448</x:f>
        <x:v>26800</x:v>
      </x:c>
      <x:c r="R448" s="18" t="n">
        <x:f>Q448*K448</x:f>
        <x:v>4020</x:v>
      </x:c>
      <x:c r="S448" s="18" t="n">
        <x:f>Q448-R448</x:f>
        <x:v>22780</x:v>
      </x:c>
      <x:c r="T448" s="18" t="n">
        <x:f>I448*L448</x:f>
        <x:v>14000</x:v>
      </x:c>
      <x:c r="U448" s="18" t="n">
        <x:f>S448-T448</x:f>
        <x:v>8780</x:v>
      </x:c>
    </x:row>
    <x:row r="449">
      <x:c r="A449" s="11" t="str">
        <x:v>V-0311</x:v>
      </x:c>
      <x:c r="B449" s="14" t="n">
        <x:v>46245</x:v>
      </x:c>
      <x:c r="C449" s="11" t="str">
        <x:v>Medellín</x:v>
      </x:c>
      <x:c r="D449" s="11" t="str">
        <x:v>Web</x:v>
      </x:c>
      <x:c r="E449" s="11" t="str">
        <x:v>Bebidas</x:v>
      </x:c>
      <x:c r="F449" s="11" t="str">
        <x:v>Bebida fría</x:v>
      </x:c>
      <x:c r="G449" s="11" t="str">
        <x:v>C-0098</x:v>
      </x:c>
      <x:c r="H449" s="11" t="str">
        <x:v>Recurrente</x:v>
      </x:c>
      <x:c r="I449" s="11" t="n">
        <x:v>3</x:v>
      </x:c>
      <x:c r="J449" s="18" t="n">
        <x:v>7300</x:v>
      </x:c>
      <x:c r="K449" s="16" t="n">
        <x:v>0</x:v>
      </x:c>
      <x:c r="L449" s="18" t="n">
        <x:v>3600</x:v>
      </x:c>
      <x:c r="M449" s="11" t="str">
        <x:v>Tarjeta</x:v>
      </x:c>
      <x:c r="N449" s="11" t="n">
        <x:v>58</x:v>
      </x:c>
      <x:c r="O449" s="11" t="str">
        <x:v>A tiempo</x:v>
      </x:c>
      <x:c r="P449" s="20" t="n">
        <x:v>5</x:v>
      </x:c>
      <x:c r="Q449" s="18" t="n">
        <x:f>I449*J449</x:f>
        <x:v>21900</x:v>
      </x:c>
      <x:c r="R449" s="18" t="n">
        <x:f>Q449*K449</x:f>
        <x:v>0</x:v>
      </x:c>
      <x:c r="S449" s="18" t="n">
        <x:f>Q449-R449</x:f>
        <x:v>21900</x:v>
      </x:c>
      <x:c r="T449" s="18" t="n">
        <x:f>I449*L449</x:f>
        <x:v>10800</x:v>
      </x:c>
      <x:c r="U449" s="18" t="n">
        <x:f>S449-T449</x:f>
        <x:v>11100</x:v>
      </x:c>
    </x:row>
    <x:row r="450">
      <x:c r="A450" s="11" t="str">
        <x:v>V-0026</x:v>
      </x:c>
      <x:c r="B450" s="14" t="n">
        <x:v>46247</x:v>
      </x:c>
      <x:c r="C450" s="11" t="str">
        <x:v>Cali</x:v>
      </x:c>
      <x:c r="D450" s="11" t="str">
        <x:v>Tienda</x:v>
      </x:c>
      <x:c r="E450" s="11" t="str">
        <x:v>Hogar</x:v>
      </x:c>
      <x:c r="F450" s="11" t="str">
        <x:v>Organizador</x:v>
      </x:c>
      <x:c r="G450" s="11" t="str">
        <x:v>C-0117</x:v>
      </x:c>
      <x:c r="H450" s="11" t="str">
        <x:v>Nuevo</x:v>
      </x:c>
      <x:c r="I450" s="11" t="n">
        <x:v>3</x:v>
      </x:c>
      <x:c r="J450" s="18" t="n">
        <x:v>38200</x:v>
      </x:c>
      <x:c r="K450" s="16" t="n">
        <x:v>0.15</x:v>
      </x:c>
      <x:c r="L450" s="18" t="n">
        <x:v>22600</x:v>
      </x:c>
      <x:c r="M450" s="11" t="str">
        <x:v>Billetera digital</x:v>
      </x:c>
      <x:c r="N450" s="11" t="n">
        <x:v>0</x:v>
      </x:c>
      <x:c r="O450" s="11" t="str">
        <x:v>No aplica</x:v>
      </x:c>
      <x:c r="P450" s="20" t="n">
        <x:v>5</x:v>
      </x:c>
      <x:c r="Q450" s="18" t="n">
        <x:f>I450*J450</x:f>
        <x:v>114600</x:v>
      </x:c>
      <x:c r="R450" s="18" t="n">
        <x:f>Q450*K450</x:f>
        <x:v>17190</x:v>
      </x:c>
      <x:c r="S450" s="18" t="n">
        <x:f>Q450-R450</x:f>
        <x:v>97410</x:v>
      </x:c>
      <x:c r="T450" s="18" t="n">
        <x:f>I450*L450</x:f>
        <x:v>67800</x:v>
      </x:c>
      <x:c r="U450" s="18" t="n">
        <x:f>S450-T450</x:f>
        <x:v>29610</x:v>
      </x:c>
    </x:row>
    <x:row r="451">
      <x:c r="A451" s="11" t="str">
        <x:v>V-0221</x:v>
      </x:c>
      <x:c r="B451" s="14" t="n">
        <x:v>46247</x:v>
      </x:c>
      <x:c r="C451" s="11" t="str">
        <x:v>Cali</x:v>
      </x:c>
      <x:c r="D451" s="11" t="str">
        <x:v>Tienda</x:v>
      </x:c>
      <x:c r="E451" s="11" t="str">
        <x:v>Hogar</x:v>
      </x:c>
      <x:c r="F451" s="11" t="str">
        <x:v>Kit limpieza</x:v>
      </x:c>
      <x:c r="G451" s="11" t="str">
        <x:v>C-0073</x:v>
      </x:c>
      <x:c r="H451" s="11" t="str">
        <x:v>Recurrente</x:v>
      </x:c>
      <x:c r="I451" s="11" t="n">
        <x:v>2</x:v>
      </x:c>
      <x:c r="J451" s="18" t="n">
        <x:v>25500</x:v>
      </x:c>
      <x:c r="K451" s="16" t="n">
        <x:v>0</x:v>
      </x:c>
      <x:c r="L451" s="18" t="n">
        <x:v>14600</x:v>
      </x:c>
      <x:c r="M451" s="11" t="str">
        <x:v>Tarjeta</x:v>
      </x:c>
      <x:c r="N451" s="11" t="n">
        <x:v>0</x:v>
      </x:c>
      <x:c r="O451" s="11" t="str">
        <x:v>No aplica</x:v>
      </x:c>
      <x:c r="P451" s="20" t="n">
        <x:v>5</x:v>
      </x:c>
      <x:c r="Q451" s="18" t="n">
        <x:f>I451*J451</x:f>
        <x:v>51000</x:v>
      </x:c>
      <x:c r="R451" s="18" t="n">
        <x:f>Q451*K451</x:f>
        <x:v>0</x:v>
      </x:c>
      <x:c r="S451" s="18" t="n">
        <x:f>Q451-R451</x:f>
        <x:v>51000</x:v>
      </x:c>
      <x:c r="T451" s="18" t="n">
        <x:f>I451*L451</x:f>
        <x:v>29200</x:v>
      </x:c>
      <x:c r="U451" s="18" t="n">
        <x:f>S451-T451</x:f>
        <x:v>21800</x:v>
      </x:c>
    </x:row>
    <x:row r="452">
      <x:c r="A452" s="11" t="str">
        <x:v>V-0372</x:v>
      </x:c>
      <x:c r="B452" s="14" t="n">
        <x:v>46247</x:v>
      </x:c>
      <x:c r="C452" s="11" t="str">
        <x:v>Neiva</x:v>
      </x:c>
      <x:c r="D452" s="11" t="str">
        <x:v>App</x:v>
      </x:c>
      <x:c r="E452" s="11" t="str">
        <x:v>Bebidas</x:v>
      </x:c>
      <x:c r="F452" s="11" t="str">
        <x:v>Bebida caliente</x:v>
      </x:c>
      <x:c r="G452" s="11" t="str">
        <x:v>C-0068</x:v>
      </x:c>
      <x:c r="H452" s="11" t="str">
        <x:v>Recurrente</x:v>
      </x:c>
      <x:c r="I452" s="11" t="n">
        <x:v>5</x:v>
      </x:c>
      <x:c r="J452" s="18" t="n">
        <x:v>6800</x:v>
      </x:c>
      <x:c r="K452" s="16" t="n">
        <x:v>0</x:v>
      </x:c>
      <x:c r="L452" s="18" t="n">
        <x:v>3200</x:v>
      </x:c>
      <x:c r="M452" s="11" t="str">
        <x:v>Tarjeta</x:v>
      </x:c>
      <x:c r="N452" s="11" t="n">
        <x:v>29</x:v>
      </x:c>
      <x:c r="O452" s="11" t="str">
        <x:v>A tiempo</x:v>
      </x:c>
      <x:c r="P452" s="20" t="n">
        <x:v>5</x:v>
      </x:c>
      <x:c r="Q452" s="18" t="n">
        <x:f>I452*J452</x:f>
        <x:v>34000</x:v>
      </x:c>
      <x:c r="R452" s="18" t="n">
        <x:f>Q452*K452</x:f>
        <x:v>0</x:v>
      </x:c>
      <x:c r="S452" s="18" t="n">
        <x:f>Q452-R452</x:f>
        <x:v>34000</x:v>
      </x:c>
      <x:c r="T452" s="18" t="n">
        <x:f>I452*L452</x:f>
        <x:v>16000</x:v>
      </x:c>
      <x:c r="U452" s="18" t="n">
        <x:f>S452-T452</x:f>
        <x:v>18000</x:v>
      </x:c>
    </x:row>
    <x:row r="453">
      <x:c r="A453" s="11" t="str">
        <x:v>V-0457</x:v>
      </x:c>
      <x:c r="B453" s="14" t="n">
        <x:v>46248</x:v>
      </x:c>
      <x:c r="C453" s="11" t="str">
        <x:v>Florencia</x:v>
      </x:c>
      <x:c r="D453" s="11" t="str">
        <x:v>Tienda</x:v>
      </x:c>
      <x:c r="E453" s="11" t="str">
        <x:v>Hogar</x:v>
      </x:c>
      <x:c r="F453" s="11" t="str">
        <x:v>Accesorio hogar</x:v>
      </x:c>
      <x:c r="G453" s="11" t="str">
        <x:v>C-0078</x:v>
      </x:c>
      <x:c r="H453" s="11" t="str">
        <x:v>Recurrente</x:v>
      </x:c>
      <x:c r="I453" s="11" t="n">
        <x:v>5</x:v>
      </x:c>
      <x:c r="J453" s="18" t="n">
        <x:v>30500</x:v>
      </x:c>
      <x:c r="K453" s="16" t="n">
        <x:v>0.15</x:v>
      </x:c>
      <x:c r="L453" s="18" t="n">
        <x:v>19100</x:v>
      </x:c>
      <x:c r="M453" s="11" t="str">
        <x:v>Efectivo</x:v>
      </x:c>
      <x:c r="N453" s="11" t="n">
        <x:v>0</x:v>
      </x:c>
      <x:c r="O453" s="11" t="str">
        <x:v>No aplica</x:v>
      </x:c>
      <x:c r="P453" s="20" t="n">
        <x:v>4</x:v>
      </x:c>
      <x:c r="Q453" s="18" t="n">
        <x:f>I453*J453</x:f>
        <x:v>152500</x:v>
      </x:c>
      <x:c r="R453" s="18" t="n">
        <x:f>Q453*K453</x:f>
        <x:v>22875</x:v>
      </x:c>
      <x:c r="S453" s="18" t="n">
        <x:f>Q453-R453</x:f>
        <x:v>129625</x:v>
      </x:c>
      <x:c r="T453" s="18" t="n">
        <x:f>I453*L453</x:f>
        <x:v>95500</x:v>
      </x:c>
      <x:c r="U453" s="18" t="n">
        <x:f>S453-T453</x:f>
        <x:v>34125</x:v>
      </x:c>
    </x:row>
    <x:row r="454">
      <x:c r="A454" s="11" t="str">
        <x:v>V-0103</x:v>
      </x:c>
      <x:c r="B454" s="14" t="n">
        <x:v>46249</x:v>
      </x:c>
      <x:c r="C454" s="11" t="str">
        <x:v>Cali</x:v>
      </x:c>
      <x:c r="D454" s="11" t="str">
        <x:v>Tienda</x:v>
      </x:c>
      <x:c r="E454" s="11" t="str">
        <x:v>Hogar</x:v>
      </x:c>
      <x:c r="F454" s="11" t="str">
        <x:v>Accesorio hogar</x:v>
      </x:c>
      <x:c r="G454" s="11" t="str">
        <x:v>C-0079</x:v>
      </x:c>
      <x:c r="H454" s="11" t="str">
        <x:v>Nuevo</x:v>
      </x:c>
      <x:c r="I454" s="11" t="n">
        <x:v>2</x:v>
      </x:c>
      <x:c r="J454" s="18" t="n">
        <x:v>30400</x:v>
      </x:c>
      <x:c r="K454" s="16" t="n">
        <x:v>0.15</x:v>
      </x:c>
      <x:c r="L454" s="18" t="n">
        <x:v>19100</x:v>
      </x:c>
      <x:c r="M454" s="11" t="str">
        <x:v>Tarjeta</x:v>
      </x:c>
      <x:c r="N454" s="11" t="n">
        <x:v>0</x:v>
      </x:c>
      <x:c r="O454" s="11" t="str">
        <x:v>No aplica</x:v>
      </x:c>
      <x:c r="P454" s="20" t="n">
        <x:v>5</x:v>
      </x:c>
      <x:c r="Q454" s="18" t="n">
        <x:f>I454*J454</x:f>
        <x:v>60800</x:v>
      </x:c>
      <x:c r="R454" s="18" t="n">
        <x:f>Q454*K454</x:f>
        <x:v>9120</x:v>
      </x:c>
      <x:c r="S454" s="18" t="n">
        <x:f>Q454-R454</x:f>
        <x:v>51680</x:v>
      </x:c>
      <x:c r="T454" s="18" t="n">
        <x:f>I454*L454</x:f>
        <x:v>38200</x:v>
      </x:c>
      <x:c r="U454" s="18" t="n">
        <x:f>S454-T454</x:f>
        <x:v>13480</x:v>
      </x:c>
    </x:row>
    <x:row r="455">
      <x:c r="A455" s="11" t="str">
        <x:v>V-0207</x:v>
      </x:c>
      <x:c r="B455" s="14" t="n">
        <x:v>46250</x:v>
      </x:c>
      <x:c r="C455" s="11" t="str">
        <x:v>Ibagué</x:v>
      </x:c>
      <x:c r="D455" s="11" t="str">
        <x:v>Web</x:v>
      </x:c>
      <x:c r="E455" s="11" t="str">
        <x:v>Alimentos</x:v>
      </x:c>
      <x:c r="F455" s="11" t="str">
        <x:v>Snack saludable</x:v>
      </x:c>
      <x:c r="G455" s="11" t="str">
        <x:v>C-0113</x:v>
      </x:c>
      <x:c r="H455" s="11" t="str">
        <x:v>Recurrente</x:v>
      </x:c>
      <x:c r="I455" s="11" t="n">
        <x:v>2</x:v>
      </x:c>
      <x:c r="J455" s="18" t="n">
        <x:v>9400</x:v>
      </x:c>
      <x:c r="K455" s="16" t="n">
        <x:v>0.15</x:v>
      </x:c>
      <x:c r="L455" s="18" t="n">
        <x:v>5200</x:v>
      </x:c>
      <x:c r="M455" s="11" t="str">
        <x:v>Billetera digital</x:v>
      </x:c>
      <x:c r="N455" s="11" t="n">
        <x:v>64</x:v>
      </x:c>
      <x:c r="O455" s="11" t="str">
        <x:v>Tardía</x:v>
      </x:c>
      <x:c r="P455" s="20" t="n">
        <x:v>5</x:v>
      </x:c>
      <x:c r="Q455" s="18" t="n">
        <x:f>I455*J455</x:f>
        <x:v>18800</x:v>
      </x:c>
      <x:c r="R455" s="18" t="n">
        <x:f>Q455*K455</x:f>
        <x:v>2820</x:v>
      </x:c>
      <x:c r="S455" s="18" t="n">
        <x:f>Q455-R455</x:f>
        <x:v>15980</x:v>
      </x:c>
      <x:c r="T455" s="18" t="n">
        <x:f>I455*L455</x:f>
        <x:v>10400</x:v>
      </x:c>
      <x:c r="U455" s="18" t="n">
        <x:f>S455-T455</x:f>
        <x:v>5580</x:v>
      </x:c>
    </x:row>
    <x:row r="456">
      <x:c r="A456" s="11" t="str">
        <x:v>V-0390</x:v>
      </x:c>
      <x:c r="B456" s="14" t="n">
        <x:v>46250</x:v>
      </x:c>
      <x:c r="C456" s="11" t="str">
        <x:v>Neiva</x:v>
      </x:c>
      <x:c r="D456" s="11" t="str">
        <x:v>App</x:v>
      </x:c>
      <x:c r="E456" s="11" t="str">
        <x:v>Alimentos</x:v>
      </x:c>
      <x:c r="F456" s="11" t="str">
        <x:v>Snack saludable</x:v>
      </x:c>
      <x:c r="G456" s="11" t="str">
        <x:v>C-0015</x:v>
      </x:c>
      <x:c r="H456" s="11" t="str">
        <x:v>Recurrente</x:v>
      </x:c>
      <x:c r="I456" s="11" t="n">
        <x:v>3</x:v>
      </x:c>
      <x:c r="J456" s="18" t="n">
        <x:v>8100</x:v>
      </x:c>
      <x:c r="K456" s="16" t="n">
        <x:v>0.15</x:v>
      </x:c>
      <x:c r="L456" s="18" t="n">
        <x:v>4700</x:v>
      </x:c>
      <x:c r="M456" s="11" t="str">
        <x:v>Transferencia</x:v>
      </x:c>
      <x:c r="N456" s="11" t="n">
        <x:v>47</x:v>
      </x:c>
      <x:c r="O456" s="11" t="str">
        <x:v>A tiempo</x:v>
      </x:c>
      <x:c r="P456" s="20" t="n">
        <x:v>5</x:v>
      </x:c>
      <x:c r="Q456" s="18" t="n">
        <x:f>I456*J456</x:f>
        <x:v>24300</x:v>
      </x:c>
      <x:c r="R456" s="18" t="n">
        <x:f>Q456*K456</x:f>
        <x:v>3645</x:v>
      </x:c>
      <x:c r="S456" s="18" t="n">
        <x:f>Q456-R456</x:f>
        <x:v>20655</x:v>
      </x:c>
      <x:c r="T456" s="18" t="n">
        <x:f>I456*L456</x:f>
        <x:v>14100</x:v>
      </x:c>
      <x:c r="U456" s="18" t="n">
        <x:f>S456-T456</x:f>
        <x:v>6555</x:v>
      </x:c>
    </x:row>
    <x:row r="457">
      <x:c r="A457" s="11" t="str">
        <x:v>V-0077</x:v>
      </x:c>
      <x:c r="B457" s="14" t="n">
        <x:v>46252</x:v>
      </x:c>
      <x:c r="C457" s="11" t="str">
        <x:v>Neiva</x:v>
      </x:c>
      <x:c r="D457" s="11" t="str">
        <x:v>App</x:v>
      </x:c>
      <x:c r="E457" s="11" t="str">
        <x:v>Bebidas</x:v>
      </x:c>
      <x:c r="F457" s="11" t="str">
        <x:v>Bebida premium</x:v>
      </x:c>
      <x:c r="G457" s="11" t="str">
        <x:v>C-0063</x:v>
      </x:c>
      <x:c r="H457" s="11" t="str">
        <x:v>Recurrente</x:v>
      </x:c>
      <x:c r="I457" s="11" t="n">
        <x:v>2</x:v>
      </x:c>
      <x:c r="J457" s="18" t="n">
        <x:v>13200</x:v>
      </x:c>
      <x:c r="K457" s="16" t="n">
        <x:v>0.05</x:v>
      </x:c>
      <x:c r="L457" s="18" t="n">
        <x:v>7600</x:v>
      </x:c>
      <x:c r="M457" s="11" t="str">
        <x:v>Billetera digital</x:v>
      </x:c>
      <x:c r="N457" s="11" t="n">
        <x:v>44</x:v>
      </x:c>
      <x:c r="O457" s="11" t="str">
        <x:v>A tiempo</x:v>
      </x:c>
      <x:c r="P457" s="20" t="n">
        <x:v>5</x:v>
      </x:c>
      <x:c r="Q457" s="18" t="n">
        <x:f>I457*J457</x:f>
        <x:v>26400</x:v>
      </x:c>
      <x:c r="R457" s="18" t="n">
        <x:f>Q457*K457</x:f>
        <x:v>1320</x:v>
      </x:c>
      <x:c r="S457" s="18" t="n">
        <x:f>Q457-R457</x:f>
        <x:v>25080</x:v>
      </x:c>
      <x:c r="T457" s="18" t="n">
        <x:f>I457*L457</x:f>
        <x:v>15200</x:v>
      </x:c>
      <x:c r="U457" s="18" t="n">
        <x:f>S457-T457</x:f>
        <x:v>9880</x:v>
      </x:c>
    </x:row>
    <x:row r="458">
      <x:c r="A458" s="11" t="str">
        <x:v>V-0007</x:v>
      </x:c>
      <x:c r="B458" s="14" t="n">
        <x:v>46253</x:v>
      </x:c>
      <x:c r="C458" s="11" t="str">
        <x:v>Florencia</x:v>
      </x:c>
      <x:c r="D458" s="11" t="str">
        <x:v>Web</x:v>
      </x:c>
      <x:c r="E458" s="11" t="str">
        <x:v>Alimentos</x:v>
      </x:c>
      <x:c r="F458" s="11" t="str">
        <x:v>Snack saludable</x:v>
      </x:c>
      <x:c r="G458" s="11" t="str">
        <x:v>C-0036</x:v>
      </x:c>
      <x:c r="H458" s="11" t="str">
        <x:v>Nuevo</x:v>
      </x:c>
      <x:c r="I458" s="11" t="n">
        <x:v>6</x:v>
      </x:c>
      <x:c r="J458" s="18" t="n">
        <x:v>9200</x:v>
      </x:c>
      <x:c r="K458" s="16" t="n">
        <x:v>0</x:v>
      </x:c>
      <x:c r="L458" s="18" t="n">
        <x:v>5400</x:v>
      </x:c>
      <x:c r="M458" s="11" t="str">
        <x:v>Tarjeta</x:v>
      </x:c>
      <x:c r="N458" s="11" t="n">
        <x:v>63</x:v>
      </x:c>
      <x:c r="O458" s="11" t="str">
        <x:v>A tiempo</x:v>
      </x:c>
      <x:c r="P458" s="20" t="n">
        <x:v>5</x:v>
      </x:c>
      <x:c r="Q458" s="18" t="n">
        <x:f>I458*J458</x:f>
        <x:v>55200</x:v>
      </x:c>
      <x:c r="R458" s="18" t="n">
        <x:f>Q458*K458</x:f>
        <x:v>0</x:v>
      </x:c>
      <x:c r="S458" s="18" t="n">
        <x:f>Q458-R458</x:f>
        <x:v>55200</x:v>
      </x:c>
      <x:c r="T458" s="18" t="n">
        <x:f>I458*L458</x:f>
        <x:v>32400</x:v>
      </x:c>
      <x:c r="U458" s="18" t="n">
        <x:f>S458-T458</x:f>
        <x:v>22800</x:v>
      </x:c>
    </x:row>
    <x:row r="459">
      <x:c r="A459" s="11" t="str">
        <x:v>V-0074</x:v>
      </x:c>
      <x:c r="B459" s="14" t="n">
        <x:v>46253</x:v>
      </x:c>
      <x:c r="C459" s="11" t="str">
        <x:v>Cali</x:v>
      </x:c>
      <x:c r="D459" s="11" t="str">
        <x:v>Web</x:v>
      </x:c>
      <x:c r="E459" s="11" t="str">
        <x:v>Hogar</x:v>
      </x:c>
      <x:c r="F459" s="11" t="str">
        <x:v>Kit limpieza</x:v>
      </x:c>
      <x:c r="G459" s="11" t="str">
        <x:v>C-0100</x:v>
      </x:c>
      <x:c r="H459" s="11" t="str">
        <x:v>Nuevo</x:v>
      </x:c>
      <x:c r="I459" s="11" t="n">
        <x:v>5</x:v>
      </x:c>
      <x:c r="J459" s="18" t="n">
        <x:v>24800</x:v>
      </x:c>
      <x:c r="K459" s="16" t="n">
        <x:v>0.1</x:v>
      </x:c>
      <x:c r="L459" s="18" t="n">
        <x:v>14300</x:v>
      </x:c>
      <x:c r="M459" s="11" t="str">
        <x:v>Tarjeta</x:v>
      </x:c>
      <x:c r="N459" s="11" t="n">
        <x:v>57</x:v>
      </x:c>
      <x:c r="O459" s="11" t="str">
        <x:v>A tiempo</x:v>
      </x:c>
      <x:c r="P459" s="20" t="n">
        <x:v>5</x:v>
      </x:c>
      <x:c r="Q459" s="18" t="n">
        <x:f>I459*J459</x:f>
        <x:v>124000</x:v>
      </x:c>
      <x:c r="R459" s="18" t="n">
        <x:f>Q459*K459</x:f>
        <x:v>12400</x:v>
      </x:c>
      <x:c r="S459" s="18" t="n">
        <x:f>Q459-R459</x:f>
        <x:v>111600</x:v>
      </x:c>
      <x:c r="T459" s="18" t="n">
        <x:f>I459*L459</x:f>
        <x:v>71500</x:v>
      </x:c>
      <x:c r="U459" s="18" t="n">
        <x:f>S459-T459</x:f>
        <x:v>40100</x:v>
      </x:c>
    </x:row>
    <x:row r="460">
      <x:c r="A460" s="11" t="str">
        <x:v>V-0015</x:v>
      </x:c>
      <x:c r="B460" s="14" t="n">
        <x:v>46254</x:v>
      </x:c>
      <x:c r="C460" s="11" t="str">
        <x:v>Neiva</x:v>
      </x:c>
      <x:c r="D460" s="11" t="str">
        <x:v>App</x:v>
      </x:c>
      <x:c r="E460" s="11" t="str">
        <x:v>Bebidas</x:v>
      </x:c>
      <x:c r="F460" s="11" t="str">
        <x:v>Bebida caliente</x:v>
      </x:c>
      <x:c r="G460" s="11" t="str">
        <x:v>C-0069</x:v>
      </x:c>
      <x:c r="H460" s="11" t="str">
        <x:v>Nuevo</x:v>
      </x:c>
      <x:c r="I460" s="11" t="n">
        <x:v>2</x:v>
      </x:c>
      <x:c r="J460" s="18" t="n">
        <x:v>7200</x:v>
      </x:c>
      <x:c r="K460" s="16" t="n">
        <x:v>0</x:v>
      </x:c>
      <x:c r="L460" s="18" t="n">
        <x:v>3300</x:v>
      </x:c>
      <x:c r="M460" s="11" t="str">
        <x:v>Transferencia</x:v>
      </x:c>
      <x:c r="N460" s="11" t="n">
        <x:v>55</x:v>
      </x:c>
      <x:c r="O460" s="11" t="str">
        <x:v>A tiempo</x:v>
      </x:c>
      <x:c r="P460" s="20" t="n">
        <x:v>5</x:v>
      </x:c>
      <x:c r="Q460" s="18" t="n">
        <x:f>I460*J460</x:f>
        <x:v>14400</x:v>
      </x:c>
      <x:c r="R460" s="18" t="n">
        <x:f>Q460*K460</x:f>
        <x:v>0</x:v>
      </x:c>
      <x:c r="S460" s="18" t="n">
        <x:f>Q460-R460</x:f>
        <x:v>14400</x:v>
      </x:c>
      <x:c r="T460" s="18" t="n">
        <x:f>I460*L460</x:f>
        <x:v>6600</x:v>
      </x:c>
      <x:c r="U460" s="18" t="n">
        <x:f>S460-T460</x:f>
        <x:v>7800</x:v>
      </x:c>
    </x:row>
    <x:row r="461">
      <x:c r="A461" s="11" t="str">
        <x:v>V-0110</x:v>
      </x:c>
      <x:c r="B461" s="14" t="n">
        <x:v>46254</x:v>
      </x:c>
      <x:c r="C461" s="11" t="str">
        <x:v>Neiva</x:v>
      </x:c>
      <x:c r="D461" s="11" t="str">
        <x:v>Tienda</x:v>
      </x:c>
      <x:c r="E461" s="11" t="str">
        <x:v>Alimentos</x:v>
      </x:c>
      <x:c r="F461" s="11" t="str">
        <x:v>Snack saludable</x:v>
      </x:c>
      <x:c r="G461" s="11" t="str">
        <x:v>C-0092</x:v>
      </x:c>
      <x:c r="H461" s="11" t="str">
        <x:v>Recurrente</x:v>
      </x:c>
      <x:c r="I461" s="11" t="n">
        <x:v>3</x:v>
      </x:c>
      <x:c r="J461" s="18" t="n">
        <x:v>9200</x:v>
      </x:c>
      <x:c r="K461" s="16" t="n">
        <x:v>0.05</x:v>
      </x:c>
      <x:c r="L461" s="18" t="n">
        <x:v>5300</x:v>
      </x:c>
      <x:c r="M461" s="11" t="str">
        <x:v>Transferencia</x:v>
      </x:c>
      <x:c r="N461" s="11" t="n">
        <x:v>0</x:v>
      </x:c>
      <x:c r="O461" s="11" t="str">
        <x:v>No aplica</x:v>
      </x:c>
      <x:c r="P461" s="20" t="n">
        <x:v>3</x:v>
      </x:c>
      <x:c r="Q461" s="18" t="n">
        <x:f>I461*J461</x:f>
        <x:v>27600</x:v>
      </x:c>
      <x:c r="R461" s="18" t="n">
        <x:f>Q461*K461</x:f>
        <x:v>1380</x:v>
      </x:c>
      <x:c r="S461" s="18" t="n">
        <x:f>Q461-R461</x:f>
        <x:v>26220</x:v>
      </x:c>
      <x:c r="T461" s="18" t="n">
        <x:f>I461*L461</x:f>
        <x:v>15900</x:v>
      </x:c>
      <x:c r="U461" s="18" t="n">
        <x:f>S461-T461</x:f>
        <x:v>10320</x:v>
      </x:c>
    </x:row>
    <x:row r="462">
      <x:c r="A462" s="11" t="str">
        <x:v>V-0356</x:v>
      </x:c>
      <x:c r="B462" s="14" t="n">
        <x:v>46254</x:v>
      </x:c>
      <x:c r="C462" s="11" t="str">
        <x:v>Cali</x:v>
      </x:c>
      <x:c r="D462" s="11" t="str">
        <x:v>Tienda</x:v>
      </x:c>
      <x:c r="E462" s="11" t="str">
        <x:v>Cuidado personal</x:v>
      </x:c>
      <x:c r="F462" s="11" t="str">
        <x:v>Producto bienestar</x:v>
      </x:c>
      <x:c r="G462" s="11" t="str">
        <x:v>C-0087</x:v>
      </x:c>
      <x:c r="H462" s="11" t="str">
        <x:v>Recurrente</x:v>
      </x:c>
      <x:c r="I462" s="11" t="n">
        <x:v>1</x:v>
      </x:c>
      <x:c r="J462" s="18" t="n">
        <x:v>32000</x:v>
      </x:c>
      <x:c r="K462" s="16" t="n">
        <x:v>0</x:v>
      </x:c>
      <x:c r="L462" s="18" t="n">
        <x:v>18500</x:v>
      </x:c>
      <x:c r="M462" s="11" t="str">
        <x:v>Tarjeta</x:v>
      </x:c>
      <x:c r="N462" s="11" t="n">
        <x:v>0</x:v>
      </x:c>
      <x:c r="O462" s="11" t="str">
        <x:v>No aplica</x:v>
      </x:c>
      <x:c r="P462" s="20" t="n">
        <x:v>5</x:v>
      </x:c>
      <x:c r="Q462" s="18" t="n">
        <x:f>I462*J462</x:f>
        <x:v>32000</x:v>
      </x:c>
      <x:c r="R462" s="18" t="n">
        <x:f>Q462*K462</x:f>
        <x:v>0</x:v>
      </x:c>
      <x:c r="S462" s="18" t="n">
        <x:f>Q462-R462</x:f>
        <x:v>32000</x:v>
      </x:c>
      <x:c r="T462" s="18" t="n">
        <x:f>I462*L462</x:f>
        <x:v>18500</x:v>
      </x:c>
      <x:c r="U462" s="18" t="n">
        <x:f>S462-T462</x:f>
        <x:v>13500</x:v>
      </x:c>
    </x:row>
    <x:row r="463">
      <x:c r="A463" s="11" t="str">
        <x:v>V-0425</x:v>
      </x:c>
      <x:c r="B463" s="14" t="n">
        <x:v>46254</x:v>
      </x:c>
      <x:c r="C463" s="11" t="str">
        <x:v>Ibagué</x:v>
      </x:c>
      <x:c r="D463" s="11" t="str">
        <x:v>Tienda</x:v>
      </x:c>
      <x:c r="E463" s="11" t="str">
        <x:v>Hogar</x:v>
      </x:c>
      <x:c r="F463" s="11" t="str">
        <x:v>Kit limpieza</x:v>
      </x:c>
      <x:c r="G463" s="11" t="str">
        <x:v>C-0070</x:v>
      </x:c>
      <x:c r="H463" s="11" t="str">
        <x:v>Recurrente</x:v>
      </x:c>
      <x:c r="I463" s="11" t="n">
        <x:v>6</x:v>
      </x:c>
      <x:c r="J463" s="18" t="n">
        <x:v>25400</x:v>
      </x:c>
      <x:c r="K463" s="16" t="n">
        <x:v>0.1</x:v>
      </x:c>
      <x:c r="L463" s="18" t="n">
        <x:v>14600</x:v>
      </x:c>
      <x:c r="M463" s="11" t="str">
        <x:v>Tarjeta</x:v>
      </x:c>
      <x:c r="N463" s="11" t="n">
        <x:v>0</x:v>
      </x:c>
      <x:c r="O463" s="11" t="str">
        <x:v>No aplica</x:v>
      </x:c>
      <x:c r="P463" s="20" t="n">
        <x:v>5</x:v>
      </x:c>
      <x:c r="Q463" s="18" t="n">
        <x:f>I463*J463</x:f>
        <x:v>152400</x:v>
      </x:c>
      <x:c r="R463" s="18" t="n">
        <x:f>Q463*K463</x:f>
        <x:v>15240</x:v>
      </x:c>
      <x:c r="S463" s="18" t="n">
        <x:f>Q463-R463</x:f>
        <x:v>137160</x:v>
      </x:c>
      <x:c r="T463" s="18" t="n">
        <x:f>I463*L463</x:f>
        <x:v>87600</x:v>
      </x:c>
      <x:c r="U463" s="18" t="n">
        <x:f>S463-T463</x:f>
        <x:v>49560</x:v>
      </x:c>
    </x:row>
    <x:row r="464">
      <x:c r="A464" s="11" t="str">
        <x:v>V-0234</x:v>
      </x:c>
      <x:c r="B464" s="14" t="n">
        <x:v>46256</x:v>
      </x:c>
      <x:c r="C464" s="11" t="str">
        <x:v>Bogotá</x:v>
      </x:c>
      <x:c r="D464" s="11" t="str">
        <x:v>Tienda</x:v>
      </x:c>
      <x:c r="E464" s="11" t="str">
        <x:v>Cuidado personal</x:v>
      </x:c>
      <x:c r="F464" s="11" t="str">
        <x:v>Accesorio personal</x:v>
      </x:c>
      <x:c r="G464" s="11" t="str">
        <x:v>C-0001</x:v>
      </x:c>
      <x:c r="H464" s="11" t="str">
        <x:v>Recurrente</x:v>
      </x:c>
      <x:c r="I464" s="11" t="n">
        <x:v>2</x:v>
      </x:c>
      <x:c r="J464" s="18" t="n">
        <x:v>19700</x:v>
      </x:c>
      <x:c r="K464" s="16" t="n">
        <x:v>0</x:v>
      </x:c>
      <x:c r="L464" s="18" t="n">
        <x:v>10800</x:v>
      </x:c>
      <x:c r="M464" s="11" t="str">
        <x:v>Efectivo</x:v>
      </x:c>
      <x:c r="N464" s="11" t="n">
        <x:v>0</x:v>
      </x:c>
      <x:c r="O464" s="11" t="str">
        <x:v>No aplica</x:v>
      </x:c>
      <x:c r="P464" s="20" t="n">
        <x:v>4</x:v>
      </x:c>
      <x:c r="Q464" s="18" t="n">
        <x:f>I464*J464</x:f>
        <x:v>39400</x:v>
      </x:c>
      <x:c r="R464" s="18" t="n">
        <x:f>Q464*K464</x:f>
        <x:v>0</x:v>
      </x:c>
      <x:c r="S464" s="18" t="n">
        <x:f>Q464-R464</x:f>
        <x:v>39400</x:v>
      </x:c>
      <x:c r="T464" s="18" t="n">
        <x:f>I464*L464</x:f>
        <x:v>21600</x:v>
      </x:c>
      <x:c r="U464" s="18" t="n">
        <x:f>S464-T464</x:f>
        <x:v>17800</x:v>
      </x:c>
    </x:row>
    <x:row r="465">
      <x:c r="A465" s="11" t="str">
        <x:v>V-0262</x:v>
      </x:c>
      <x:c r="B465" s="14" t="n">
        <x:v>46256</x:v>
      </x:c>
      <x:c r="C465" s="11" t="str">
        <x:v>Florencia</x:v>
      </x:c>
      <x:c r="D465" s="11" t="str">
        <x:v>App</x:v>
      </x:c>
      <x:c r="E465" s="11" t="str">
        <x:v>Alimentos</x:v>
      </x:c>
      <x:c r="F465" s="11" t="str">
        <x:v>Snack saludable</x:v>
      </x:c>
      <x:c r="G465" s="11" t="str">
        <x:v>C-0055</x:v>
      </x:c>
      <x:c r="H465" s="11" t="str">
        <x:v>Recurrente</x:v>
      </x:c>
      <x:c r="I465" s="11" t="n">
        <x:v>1</x:v>
      </x:c>
      <x:c r="J465" s="18" t="n">
        <x:v>8000</x:v>
      </x:c>
      <x:c r="K465" s="16" t="n">
        <x:v>0</x:v>
      </x:c>
      <x:c r="L465" s="18" t="n">
        <x:v>4700</x:v>
      </x:c>
      <x:c r="M465" s="11" t="str">
        <x:v>Billetera digital</x:v>
      </x:c>
      <x:c r="N465" s="11" t="n">
        <x:v>70</x:v>
      </x:c>
      <x:c r="O465" s="11" t="str">
        <x:v>A tiempo</x:v>
      </x:c>
      <x:c r="P465" s="20" t="n">
        <x:v>4</x:v>
      </x:c>
      <x:c r="Q465" s="18" t="n">
        <x:f>I465*J465</x:f>
        <x:v>8000</x:v>
      </x:c>
      <x:c r="R465" s="18" t="n">
        <x:f>Q465*K465</x:f>
        <x:v>0</x:v>
      </x:c>
      <x:c r="S465" s="18" t="n">
        <x:f>Q465-R465</x:f>
        <x:v>8000</x:v>
      </x:c>
      <x:c r="T465" s="18" t="n">
        <x:f>I465*L465</x:f>
        <x:v>4700</x:v>
      </x:c>
      <x:c r="U465" s="18" t="n">
        <x:f>S465-T465</x:f>
        <x:v>3300</x:v>
      </x:c>
    </x:row>
    <x:row r="466">
      <x:c r="A466" s="11" t="str">
        <x:v>V-0374</x:v>
      </x:c>
      <x:c r="B466" s="14" t="n">
        <x:v>46256</x:v>
      </x:c>
      <x:c r="C466" s="11" t="str">
        <x:v>Neiva</x:v>
      </x:c>
      <x:c r="D466" s="11" t="str">
        <x:v>App</x:v>
      </x:c>
      <x:c r="E466" s="11" t="str">
        <x:v>Hogar</x:v>
      </x:c>
      <x:c r="F466" s="11" t="str">
        <x:v>Accesorio hogar</x:v>
      </x:c>
      <x:c r="G466" s="11" t="str">
        <x:v>C-0082</x:v>
      </x:c>
      <x:c r="H466" s="11" t="str">
        <x:v>Recurrente</x:v>
      </x:c>
      <x:c r="I466" s="11" t="n">
        <x:v>1</x:v>
      </x:c>
      <x:c r="J466" s="18" t="n">
        <x:v>27000</x:v>
      </x:c>
      <x:c r="K466" s="16" t="n">
        <x:v>0.05</x:v>
      </x:c>
      <x:c r="L466" s="18" t="n">
        <x:v>16900</x:v>
      </x:c>
      <x:c r="M466" s="11" t="str">
        <x:v>Transferencia</x:v>
      </x:c>
      <x:c r="N466" s="11" t="n">
        <x:v>41</x:v>
      </x:c>
      <x:c r="O466" s="11" t="str">
        <x:v>A tiempo</x:v>
      </x:c>
      <x:c r="P466" s="20" t="n">
        <x:v>5</x:v>
      </x:c>
      <x:c r="Q466" s="18" t="n">
        <x:f>I466*J466</x:f>
        <x:v>27000</x:v>
      </x:c>
      <x:c r="R466" s="18" t="n">
        <x:f>Q466*K466</x:f>
        <x:v>1350</x:v>
      </x:c>
      <x:c r="S466" s="18" t="n">
        <x:f>Q466-R466</x:f>
        <x:v>25650</x:v>
      </x:c>
      <x:c r="T466" s="18" t="n">
        <x:f>I466*L466</x:f>
        <x:v>16900</x:v>
      </x:c>
      <x:c r="U466" s="18" t="n">
        <x:f>S466-T466</x:f>
        <x:v>8750</x:v>
      </x:c>
    </x:row>
    <x:row r="467">
      <x:c r="A467" s="11" t="str">
        <x:v>V-0107</x:v>
      </x:c>
      <x:c r="B467" s="14" t="n">
        <x:v>46257</x:v>
      </x:c>
      <x:c r="C467" s="11" t="str">
        <x:v>Florencia</x:v>
      </x:c>
      <x:c r="D467" s="11" t="str">
        <x:v>Web</x:v>
      </x:c>
      <x:c r="E467" s="11" t="str">
        <x:v>Bebidas</x:v>
      </x:c>
      <x:c r="F467" s="11" t="str">
        <x:v>Bebida caliente</x:v>
      </x:c>
      <x:c r="G467" s="11" t="str">
        <x:v>C-0072</x:v>
      </x:c>
      <x:c r="H467" s="11" t="str">
        <x:v>Recurrente</x:v>
      </x:c>
      <x:c r="I467" s="11" t="n">
        <x:v>4</x:v>
      </x:c>
      <x:c r="J467" s="18" t="n">
        <x:v>6100</x:v>
      </x:c>
      <x:c r="K467" s="16" t="n">
        <x:v>0.1</x:v>
      </x:c>
      <x:c r="L467" s="18" t="n">
        <x:v>2800</x:v>
      </x:c>
      <x:c r="M467" s="11" t="str">
        <x:v>Transferencia</x:v>
      </x:c>
      <x:c r="N467" s="11" t="n">
        <x:v>77</x:v>
      </x:c>
      <x:c r="O467" s="11" t="str">
        <x:v>Tardía</x:v>
      </x:c>
      <x:c r="P467" s="20" t="n">
        <x:v>2</x:v>
      </x:c>
      <x:c r="Q467" s="18" t="n">
        <x:f>I467*J467</x:f>
        <x:v>24400</x:v>
      </x:c>
      <x:c r="R467" s="18" t="n">
        <x:f>Q467*K467</x:f>
        <x:v>2440</x:v>
      </x:c>
      <x:c r="S467" s="18" t="n">
        <x:f>Q467-R467</x:f>
        <x:v>21960</x:v>
      </x:c>
      <x:c r="T467" s="18" t="n">
        <x:f>I467*L467</x:f>
        <x:v>11200</x:v>
      </x:c>
      <x:c r="U467" s="18" t="n">
        <x:f>S467-T467</x:f>
        <x:v>10760</x:v>
      </x:c>
    </x:row>
    <x:row r="468">
      <x:c r="A468" s="11" t="str">
        <x:v>V-0172</x:v>
      </x:c>
      <x:c r="B468" s="14" t="n">
        <x:v>46257</x:v>
      </x:c>
      <x:c r="C468" s="11" t="str">
        <x:v>Florencia</x:v>
      </x:c>
      <x:c r="D468" s="11" t="str">
        <x:v>Tienda</x:v>
      </x:c>
      <x:c r="E468" s="11" t="str">
        <x:v>Bebidas</x:v>
      </x:c>
      <x:c r="F468" s="11" t="str">
        <x:v>Bebida fría</x:v>
      </x:c>
      <x:c r="G468" s="11" t="str">
        <x:v>C-0028</x:v>
      </x:c>
      <x:c r="H468" s="11" t="str">
        <x:v>Recurrente</x:v>
      </x:c>
      <x:c r="I468" s="11" t="n">
        <x:v>4</x:v>
      </x:c>
      <x:c r="J468" s="18" t="n">
        <x:v>7100</x:v>
      </x:c>
      <x:c r="K468" s="16" t="n">
        <x:v>0.1</x:v>
      </x:c>
      <x:c r="L468" s="18" t="n">
        <x:v>3600</x:v>
      </x:c>
      <x:c r="M468" s="11" t="str">
        <x:v>Efectivo</x:v>
      </x:c>
      <x:c r="N468" s="11" t="n">
        <x:v>0</x:v>
      </x:c>
      <x:c r="O468" s="11" t="str">
        <x:v>No aplica</x:v>
      </x:c>
      <x:c r="P468" s="20" t="n">
        <x:v>5</x:v>
      </x:c>
      <x:c r="Q468" s="18" t="n">
        <x:f>I468*J468</x:f>
        <x:v>28400</x:v>
      </x:c>
      <x:c r="R468" s="18" t="n">
        <x:f>Q468*K468</x:f>
        <x:v>2840</x:v>
      </x:c>
      <x:c r="S468" s="18" t="n">
        <x:f>Q468-R468</x:f>
        <x:v>25560</x:v>
      </x:c>
      <x:c r="T468" s="18" t="n">
        <x:f>I468*L468</x:f>
        <x:v>14400</x:v>
      </x:c>
      <x:c r="U468" s="18" t="n">
        <x:f>S468-T468</x:f>
        <x:v>11160</x:v>
      </x:c>
    </x:row>
    <x:row r="469">
      <x:c r="A469" s="11" t="str">
        <x:v>V-0430</x:v>
      </x:c>
      <x:c r="B469" s="14" t="n">
        <x:v>46257</x:v>
      </x:c>
      <x:c r="C469" s="11" t="str">
        <x:v>Florencia</x:v>
      </x:c>
      <x:c r="D469" s="11" t="str">
        <x:v>Web</x:v>
      </x:c>
      <x:c r="E469" s="11" t="str">
        <x:v>Bebidas</x:v>
      </x:c>
      <x:c r="F469" s="11" t="str">
        <x:v>Bebida caliente</x:v>
      </x:c>
      <x:c r="G469" s="11" t="str">
        <x:v>C-0068</x:v>
      </x:c>
      <x:c r="H469" s="11" t="str">
        <x:v>Recurrente</x:v>
      </x:c>
      <x:c r="I469" s="11" t="n">
        <x:v>1</x:v>
      </x:c>
      <x:c r="J469" s="18" t="n">
        <x:v>7100</x:v>
      </x:c>
      <x:c r="K469" s="16" t="n">
        <x:v>0.2</x:v>
      </x:c>
      <x:c r="L469" s="18" t="n">
        <x:v>3500</x:v>
      </x:c>
      <x:c r="M469" s="11" t="str">
        <x:v>Efectivo</x:v>
      </x:c>
      <x:c r="N469" s="11" t="n">
        <x:v>80</x:v>
      </x:c>
      <x:c r="O469" s="11" t="str">
        <x:v>Tardía</x:v>
      </x:c>
      <x:c r="P469" s="20" t="n">
        <x:v>4</x:v>
      </x:c>
      <x:c r="Q469" s="18" t="n">
        <x:f>I469*J469</x:f>
        <x:v>7100</x:v>
      </x:c>
      <x:c r="R469" s="18" t="n">
        <x:f>Q469*K469</x:f>
        <x:v>1420</x:v>
      </x:c>
      <x:c r="S469" s="18" t="n">
        <x:f>Q469-R469</x:f>
        <x:v>5680</x:v>
      </x:c>
      <x:c r="T469" s="18" t="n">
        <x:f>I469*L469</x:f>
        <x:v>3500</x:v>
      </x:c>
      <x:c r="U469" s="18" t="n">
        <x:f>S469-T469</x:f>
        <x:v>2180</x:v>
      </x:c>
    </x:row>
    <x:row r="470">
      <x:c r="A470" s="11" t="str">
        <x:v>V-0461</x:v>
      </x:c>
      <x:c r="B470" s="14" t="n">
        <x:v>46257</x:v>
      </x:c>
      <x:c r="C470" s="11" t="str">
        <x:v>Bogotá</x:v>
      </x:c>
      <x:c r="D470" s="11" t="str">
        <x:v>Tienda</x:v>
      </x:c>
      <x:c r="E470" s="11" t="str">
        <x:v>Bebidas</x:v>
      </x:c>
      <x:c r="F470" s="11" t="str">
        <x:v>Bebida caliente</x:v>
      </x:c>
      <x:c r="G470" s="11" t="str">
        <x:v>C-0053</x:v>
      </x:c>
      <x:c r="H470" s="11" t="str">
        <x:v>Recurrente</x:v>
      </x:c>
      <x:c r="I470" s="11" t="n">
        <x:v>2</x:v>
      </x:c>
      <x:c r="J470" s="18" t="n">
        <x:v>7000</x:v>
      </x:c>
      <x:c r="K470" s="16" t="n">
        <x:v>0</x:v>
      </x:c>
      <x:c r="L470" s="18" t="n">
        <x:v>3300</x:v>
      </x:c>
      <x:c r="M470" s="11" t="str">
        <x:v>Efectivo</x:v>
      </x:c>
      <x:c r="N470" s="11" t="n">
        <x:v>0</x:v>
      </x:c>
      <x:c r="O470" s="11" t="str">
        <x:v>No aplica</x:v>
      </x:c>
      <x:c r="P470" s="20" t="n">
        <x:v>5</x:v>
      </x:c>
      <x:c r="Q470" s="18" t="n">
        <x:f>I470*J470</x:f>
        <x:v>14000</x:v>
      </x:c>
      <x:c r="R470" s="18" t="n">
        <x:f>Q470*K470</x:f>
        <x:v>0</x:v>
      </x:c>
      <x:c r="S470" s="18" t="n">
        <x:f>Q470-R470</x:f>
        <x:v>14000</x:v>
      </x:c>
      <x:c r="T470" s="18" t="n">
        <x:f>I470*L470</x:f>
        <x:v>6600</x:v>
      </x:c>
      <x:c r="U470" s="18" t="n">
        <x:f>S470-T470</x:f>
        <x:v>7400</x:v>
      </x:c>
    </x:row>
    <x:row r="471">
      <x:c r="A471" s="11" t="str">
        <x:v>V-0043</x:v>
      </x:c>
      <x:c r="B471" s="14" t="n">
        <x:v>46258</x:v>
      </x:c>
      <x:c r="C471" s="11" t="str">
        <x:v>Neiva</x:v>
      </x:c>
      <x:c r="D471" s="11" t="str">
        <x:v>Tienda</x:v>
      </x:c>
      <x:c r="E471" s="11" t="str">
        <x:v>Cuidado personal</x:v>
      </x:c>
      <x:c r="F471" s="11" t="str">
        <x:v>Kit cuidado</x:v>
      </x:c>
      <x:c r="G471" s="11" t="str">
        <x:v>C-0028</x:v>
      </x:c>
      <x:c r="H471" s="11" t="str">
        <x:v>Recurrente</x:v>
      </x:c>
      <x:c r="I471" s="11" t="n">
        <x:v>1</x:v>
      </x:c>
      <x:c r="J471" s="18" t="n">
        <x:v>40700</x:v>
      </x:c>
      <x:c r="K471" s="16" t="n">
        <x:v>0.2</x:v>
      </x:c>
      <x:c r="L471" s="18" t="n">
        <x:v>26000</x:v>
      </x:c>
      <x:c r="M471" s="11" t="str">
        <x:v>Efectivo</x:v>
      </x:c>
      <x:c r="N471" s="11" t="n">
        <x:v>0</x:v>
      </x:c>
      <x:c r="O471" s="11" t="str">
        <x:v>No aplica</x:v>
      </x:c>
      <x:c r="P471" s="20" t="n">
        <x:v>4</x:v>
      </x:c>
      <x:c r="Q471" s="18" t="n">
        <x:f>I471*J471</x:f>
        <x:v>40700</x:v>
      </x:c>
      <x:c r="R471" s="18" t="n">
        <x:f>Q471*K471</x:f>
        <x:v>8140</x:v>
      </x:c>
      <x:c r="S471" s="18" t="n">
        <x:f>Q471-R471</x:f>
        <x:v>32560</x:v>
      </x:c>
      <x:c r="T471" s="18" t="n">
        <x:f>I471*L471</x:f>
        <x:v>26000</x:v>
      </x:c>
      <x:c r="U471" s="18" t="n">
        <x:f>S471-T471</x:f>
        <x:v>6560</x:v>
      </x:c>
    </x:row>
    <x:row r="472">
      <x:c r="A472" s="11" t="str">
        <x:v>V-0271</x:v>
      </x:c>
      <x:c r="B472" s="14" t="n">
        <x:v>46258</x:v>
      </x:c>
      <x:c r="C472" s="11" t="str">
        <x:v>Ibagué</x:v>
      </x:c>
      <x:c r="D472" s="11" t="str">
        <x:v>Tienda</x:v>
      </x:c>
      <x:c r="E472" s="11" t="str">
        <x:v>Alimentos</x:v>
      </x:c>
      <x:c r="F472" s="11" t="str">
        <x:v>Producto gourmet</x:v>
      </x:c>
      <x:c r="G472" s="11" t="str">
        <x:v>C-0024</x:v>
      </x:c>
      <x:c r="H472" s="11" t="str">
        <x:v>Recurrente</x:v>
      </x:c>
      <x:c r="I472" s="11" t="n">
        <x:v>1</x:v>
      </x:c>
      <x:c r="J472" s="18" t="n">
        <x:v>32900</x:v>
      </x:c>
      <x:c r="K472" s="16" t="n">
        <x:v>0.1</x:v>
      </x:c>
      <x:c r="L472" s="18" t="n">
        <x:v>20800</x:v>
      </x:c>
      <x:c r="M472" s="11" t="str">
        <x:v>Efectivo</x:v>
      </x:c>
      <x:c r="N472" s="11" t="n">
        <x:v>0</x:v>
      </x:c>
      <x:c r="O472" s="11" t="str">
        <x:v>No aplica</x:v>
      </x:c>
      <x:c r="P472" s="20" t="n">
        <x:v>4</x:v>
      </x:c>
      <x:c r="Q472" s="18" t="n">
        <x:f>I472*J472</x:f>
        <x:v>32900</x:v>
      </x:c>
      <x:c r="R472" s="18" t="n">
        <x:f>Q472*K472</x:f>
        <x:v>3290</x:v>
      </x:c>
      <x:c r="S472" s="18" t="n">
        <x:f>Q472-R472</x:f>
        <x:v>29610</x:v>
      </x:c>
      <x:c r="T472" s="18" t="n">
        <x:f>I472*L472</x:f>
        <x:v>20800</x:v>
      </x:c>
      <x:c r="U472" s="18" t="n">
        <x:f>S472-T472</x:f>
        <x:v>8810</x:v>
      </x:c>
    </x:row>
    <x:row r="473">
      <x:c r="A473" s="11" t="str">
        <x:v>V-0341</x:v>
      </x:c>
      <x:c r="B473" s="14" t="n">
        <x:v>46258</x:v>
      </x:c>
      <x:c r="C473" s="11" t="str">
        <x:v>Medellín</x:v>
      </x:c>
      <x:c r="D473" s="11" t="str">
        <x:v>Tienda</x:v>
      </x:c>
      <x:c r="E473" s="11" t="str">
        <x:v>Bebidas</x:v>
      </x:c>
      <x:c r="F473" s="11" t="str">
        <x:v>Bebida caliente</x:v>
      </x:c>
      <x:c r="G473" s="11" t="str">
        <x:v>C-0043</x:v>
      </x:c>
      <x:c r="H473" s="11" t="str">
        <x:v>Recurrente</x:v>
      </x:c>
      <x:c r="I473" s="11" t="n">
        <x:v>5</x:v>
      </x:c>
      <x:c r="J473" s="18" t="n">
        <x:v>6100</x:v>
      </x:c>
      <x:c r="K473" s="16" t="n">
        <x:v>0</x:v>
      </x:c>
      <x:c r="L473" s="18" t="n">
        <x:v>2800</x:v>
      </x:c>
      <x:c r="M473" s="11" t="str">
        <x:v>Tarjeta</x:v>
      </x:c>
      <x:c r="N473" s="11" t="n">
        <x:v>0</x:v>
      </x:c>
      <x:c r="O473" s="11" t="str">
        <x:v>No aplica</x:v>
      </x:c>
      <x:c r="P473" s="20" t="n">
        <x:v>5</x:v>
      </x:c>
      <x:c r="Q473" s="18" t="n">
        <x:f>I473*J473</x:f>
        <x:v>30500</x:v>
      </x:c>
      <x:c r="R473" s="18" t="n">
        <x:f>Q473*K473</x:f>
        <x:v>0</x:v>
      </x:c>
      <x:c r="S473" s="18" t="n">
        <x:f>Q473-R473</x:f>
        <x:v>30500</x:v>
      </x:c>
      <x:c r="T473" s="18" t="n">
        <x:f>I473*L473</x:f>
        <x:v>14000</x:v>
      </x:c>
      <x:c r="U473" s="18" t="n">
        <x:f>S473-T473</x:f>
        <x:v>16500</x:v>
      </x:c>
    </x:row>
    <x:row r="474">
      <x:c r="A474" s="11" t="str">
        <x:v>V-0351</x:v>
      </x:c>
      <x:c r="B474" s="14" t="n">
        <x:v>46258</x:v>
      </x:c>
      <x:c r="C474" s="11" t="str">
        <x:v>Ibagué</x:v>
      </x:c>
      <x:c r="D474" s="11" t="str">
        <x:v>Web</x:v>
      </x:c>
      <x:c r="E474" s="11" t="str">
        <x:v>Hogar</x:v>
      </x:c>
      <x:c r="F474" s="11" t="str">
        <x:v>Organizador</x:v>
      </x:c>
      <x:c r="G474" s="11" t="str">
        <x:v>C-0036</x:v>
      </x:c>
      <x:c r="H474" s="11" t="str">
        <x:v>Recurrente</x:v>
      </x:c>
      <x:c r="I474" s="11" t="n">
        <x:v>2</x:v>
      </x:c>
      <x:c r="J474" s="18" t="n">
        <x:v>38400</x:v>
      </x:c>
      <x:c r="K474" s="16" t="n">
        <x:v>0</x:v>
      </x:c>
      <x:c r="L474" s="18" t="n">
        <x:v>24300</x:v>
      </x:c>
      <x:c r="M474" s="11" t="str">
        <x:v>Tarjeta</x:v>
      </x:c>
      <x:c r="N474" s="11" t="n">
        <x:v>41</x:v>
      </x:c>
      <x:c r="O474" s="11" t="str">
        <x:v>A tiempo</x:v>
      </x:c>
      <x:c r="P474" s="20" t="n">
        <x:v>3</x:v>
      </x:c>
      <x:c r="Q474" s="18" t="n">
        <x:f>I474*J474</x:f>
        <x:v>76800</x:v>
      </x:c>
      <x:c r="R474" s="18" t="n">
        <x:f>Q474*K474</x:f>
        <x:v>0</x:v>
      </x:c>
      <x:c r="S474" s="18" t="n">
        <x:f>Q474-R474</x:f>
        <x:v>76800</x:v>
      </x:c>
      <x:c r="T474" s="18" t="n">
        <x:f>I474*L474</x:f>
        <x:v>48600</x:v>
      </x:c>
      <x:c r="U474" s="18" t="n">
        <x:f>S474-T474</x:f>
        <x:v>28200</x:v>
      </x:c>
    </x:row>
    <x:row r="475">
      <x:c r="A475" s="11" t="str">
        <x:v>V-0180</x:v>
      </x:c>
      <x:c r="B475" s="14" t="n">
        <x:v>46259</x:v>
      </x:c>
      <x:c r="C475" s="11" t="str">
        <x:v>Neiva</x:v>
      </x:c>
      <x:c r="D475" s="11" t="str">
        <x:v>Tienda</x:v>
      </x:c>
      <x:c r="E475" s="11" t="str">
        <x:v>Bebidas</x:v>
      </x:c>
      <x:c r="F475" s="11" t="str">
        <x:v>Bebida fría</x:v>
      </x:c>
      <x:c r="G475" s="11" t="str">
        <x:v>C-0087</x:v>
      </x:c>
      <x:c r="H475" s="11" t="str">
        <x:v>Recurrente</x:v>
      </x:c>
      <x:c r="I475" s="11" t="n">
        <x:v>1</x:v>
      </x:c>
      <x:c r="J475" s="18" t="n">
        <x:v>7500</x:v>
      </x:c>
      <x:c r="K475" s="16" t="n">
        <x:v>0</x:v>
      </x:c>
      <x:c r="L475" s="18" t="n">
        <x:v>3800</x:v>
      </x:c>
      <x:c r="M475" s="11" t="str">
        <x:v>Tarjeta</x:v>
      </x:c>
      <x:c r="N475" s="11" t="n">
        <x:v>0</x:v>
      </x:c>
      <x:c r="O475" s="11" t="str">
        <x:v>No aplica</x:v>
      </x:c>
      <x:c r="P475" s="20" t="n">
        <x:v>5</x:v>
      </x:c>
      <x:c r="Q475" s="18" t="n">
        <x:f>I475*J475</x:f>
        <x:v>7500</x:v>
      </x:c>
      <x:c r="R475" s="18" t="n">
        <x:f>Q475*K475</x:f>
        <x:v>0</x:v>
      </x:c>
      <x:c r="S475" s="18" t="n">
        <x:f>Q475-R475</x:f>
        <x:v>7500</x:v>
      </x:c>
      <x:c r="T475" s="18" t="n">
        <x:f>I475*L475</x:f>
        <x:v>3800</x:v>
      </x:c>
      <x:c r="U475" s="18" t="n">
        <x:f>S475-T475</x:f>
        <x:v>3700</x:v>
      </x:c>
    </x:row>
    <x:row r="476">
      <x:c r="A476" s="11" t="str">
        <x:v>V-0060</x:v>
      </x:c>
      <x:c r="B476" s="14" t="n">
        <x:v>46261</x:v>
      </x:c>
      <x:c r="C476" s="11" t="str">
        <x:v>Cali</x:v>
      </x:c>
      <x:c r="D476" s="11" t="str">
        <x:v>Web</x:v>
      </x:c>
      <x:c r="E476" s="11" t="str">
        <x:v>Alimentos</x:v>
      </x:c>
      <x:c r="F476" s="11" t="str">
        <x:v>Producto gourmet</x:v>
      </x:c>
      <x:c r="G476" s="11" t="str">
        <x:v>C-0094</x:v>
      </x:c>
      <x:c r="H476" s="11" t="str">
        <x:v>Recurrente</x:v>
      </x:c>
      <x:c r="I476" s="11" t="n">
        <x:v>1</x:v>
      </x:c>
      <x:c r="J476" s="18" t="n">
        <x:v>29900</x:v>
      </x:c>
      <x:c r="K476" s="16" t="n">
        <x:v>0.05</x:v>
      </x:c>
      <x:c r="L476" s="18" t="n">
        <x:v>18200</x:v>
      </x:c>
      <x:c r="M476" s="11" t="str">
        <x:v>Transferencia</x:v>
      </x:c>
      <x:c r="N476" s="11" t="n">
        <x:v>44</x:v>
      </x:c>
      <x:c r="O476" s="11" t="str">
        <x:v>A tiempo</x:v>
      </x:c>
      <x:c r="P476" s="20" t="n">
        <x:v>5</x:v>
      </x:c>
      <x:c r="Q476" s="18" t="n">
        <x:f>I476*J476</x:f>
        <x:v>29900</x:v>
      </x:c>
      <x:c r="R476" s="18" t="n">
        <x:f>Q476*K476</x:f>
        <x:v>1495</x:v>
      </x:c>
      <x:c r="S476" s="18" t="n">
        <x:f>Q476-R476</x:f>
        <x:v>28405</x:v>
      </x:c>
      <x:c r="T476" s="18" t="n">
        <x:f>I476*L476</x:f>
        <x:v>18200</x:v>
      </x:c>
      <x:c r="U476" s="18" t="n">
        <x:f>S476-T476</x:f>
        <x:v>10205</x:v>
      </x:c>
    </x:row>
    <x:row r="477">
      <x:c r="A477" s="11" t="str">
        <x:v>V-0397</x:v>
      </x:c>
      <x:c r="B477" s="14" t="n">
        <x:v>46261</x:v>
      </x:c>
      <x:c r="C477" s="11" t="str">
        <x:v>Ibagué</x:v>
      </x:c>
      <x:c r="D477" s="11" t="str">
        <x:v>Tienda</x:v>
      </x:c>
      <x:c r="E477" s="11" t="str">
        <x:v>Alimentos</x:v>
      </x:c>
      <x:c r="F477" s="11" t="str">
        <x:v>Producto gourmet</x:v>
      </x:c>
      <x:c r="G477" s="11" t="str">
        <x:v>C-0063</x:v>
      </x:c>
      <x:c r="H477" s="11" t="str">
        <x:v>Recurrente</x:v>
      </x:c>
      <x:c r="I477" s="11" t="n">
        <x:v>3</x:v>
      </x:c>
      <x:c r="J477" s="18" t="n">
        <x:v>34100</x:v>
      </x:c>
      <x:c r="K477" s="16" t="n">
        <x:v>0.15</x:v>
      </x:c>
      <x:c r="L477" s="18" t="n">
        <x:v>22400</x:v>
      </x:c>
      <x:c r="M477" s="11" t="str">
        <x:v>Tarjeta</x:v>
      </x:c>
      <x:c r="N477" s="11" t="n">
        <x:v>0</x:v>
      </x:c>
      <x:c r="O477" s="11" t="str">
        <x:v>No aplica</x:v>
      </x:c>
      <x:c r="P477" s="20" t="n">
        <x:v>5</x:v>
      </x:c>
      <x:c r="Q477" s="18" t="n">
        <x:f>I477*J477</x:f>
        <x:v>102300</x:v>
      </x:c>
      <x:c r="R477" s="18" t="n">
        <x:f>Q477*K477</x:f>
        <x:v>15345</x:v>
      </x:c>
      <x:c r="S477" s="18" t="n">
        <x:f>Q477-R477</x:f>
        <x:v>86955</x:v>
      </x:c>
      <x:c r="T477" s="18" t="n">
        <x:f>I477*L477</x:f>
        <x:v>67200</x:v>
      </x:c>
      <x:c r="U477" s="18" t="n">
        <x:f>S477-T477</x:f>
        <x:v>19755</x:v>
      </x:c>
    </x:row>
    <x:row r="478">
      <x:c r="A478" s="11" t="str">
        <x:v>V-0020</x:v>
      </x:c>
      <x:c r="B478" s="14" t="n">
        <x:v>46262</x:v>
      </x:c>
      <x:c r="C478" s="11" t="str">
        <x:v>Cali</x:v>
      </x:c>
      <x:c r="D478" s="11" t="str">
        <x:v>App</x:v>
      </x:c>
      <x:c r="E478" s="11" t="str">
        <x:v>Hogar</x:v>
      </x:c>
      <x:c r="F478" s="11" t="str">
        <x:v>Kit limpieza</x:v>
      </x:c>
      <x:c r="G478" s="11" t="str">
        <x:v>C-0040</x:v>
      </x:c>
      <x:c r="H478" s="11" t="str">
        <x:v>Nuevo</x:v>
      </x:c>
      <x:c r="I478" s="11" t="n">
        <x:v>3</x:v>
      </x:c>
      <x:c r="J478" s="18" t="n">
        <x:v>22100</x:v>
      </x:c>
      <x:c r="K478" s="16" t="n">
        <x:v>0.15</x:v>
      </x:c>
      <x:c r="L478" s="18" t="n">
        <x:v>12400</x:v>
      </x:c>
      <x:c r="M478" s="11" t="str">
        <x:v>Billetera digital</x:v>
      </x:c>
      <x:c r="N478" s="11" t="n">
        <x:v>55</x:v>
      </x:c>
      <x:c r="O478" s="11" t="str">
        <x:v>A tiempo</x:v>
      </x:c>
      <x:c r="P478" s="20" t="n">
        <x:v>5</x:v>
      </x:c>
      <x:c r="Q478" s="18" t="n">
        <x:f>I478*J478</x:f>
        <x:v>66300</x:v>
      </x:c>
      <x:c r="R478" s="18" t="n">
        <x:f>Q478*K478</x:f>
        <x:v>9945</x:v>
      </x:c>
      <x:c r="S478" s="18" t="n">
        <x:f>Q478-R478</x:f>
        <x:v>56355</x:v>
      </x:c>
      <x:c r="T478" s="18" t="n">
        <x:f>I478*L478</x:f>
        <x:v>37200</x:v>
      </x:c>
      <x:c r="U478" s="18" t="n">
        <x:f>S478-T478</x:f>
        <x:v>19155</x:v>
      </x:c>
    </x:row>
    <x:row r="479">
      <x:c r="A479" s="11" t="str">
        <x:v>V-0212</x:v>
      </x:c>
      <x:c r="B479" s="14" t="n">
        <x:v>46262</x:v>
      </x:c>
      <x:c r="C479" s="11" t="str">
        <x:v>Ibagué</x:v>
      </x:c>
      <x:c r="D479" s="11" t="str">
        <x:v>App</x:v>
      </x:c>
      <x:c r="E479" s="11" t="str">
        <x:v>Bebidas</x:v>
      </x:c>
      <x:c r="F479" s="11" t="str">
        <x:v>Bebida fría</x:v>
      </x:c>
      <x:c r="G479" s="11" t="str">
        <x:v>C-0060</x:v>
      </x:c>
      <x:c r="H479" s="11" t="str">
        <x:v>Nuevo</x:v>
      </x:c>
      <x:c r="I479" s="11" t="n">
        <x:v>1</x:v>
      </x:c>
      <x:c r="J479" s="18" t="n">
        <x:v>7800</x:v>
      </x:c>
      <x:c r="K479" s="16" t="n">
        <x:v>0.05</x:v>
      </x:c>
      <x:c r="L479" s="18" t="n">
        <x:v>4200</x:v>
      </x:c>
      <x:c r="M479" s="11" t="str">
        <x:v>Transferencia</x:v>
      </x:c>
      <x:c r="N479" s="11" t="n">
        <x:v>59</x:v>
      </x:c>
      <x:c r="O479" s="11" t="str">
        <x:v>A tiempo</x:v>
      </x:c>
      <x:c r="P479" s="20" t="n">
        <x:v>4</x:v>
      </x:c>
      <x:c r="Q479" s="18" t="n">
        <x:f>I479*J479</x:f>
        <x:v>7800</x:v>
      </x:c>
      <x:c r="R479" s="18" t="n">
        <x:f>Q479*K479</x:f>
        <x:v>390</x:v>
      </x:c>
      <x:c r="S479" s="18" t="n">
        <x:f>Q479-R479</x:f>
        <x:v>7410</x:v>
      </x:c>
      <x:c r="T479" s="18" t="n">
        <x:f>I479*L479</x:f>
        <x:v>4200</x:v>
      </x:c>
      <x:c r="U479" s="18" t="n">
        <x:f>S479-T479</x:f>
        <x:v>3210</x:v>
      </x:c>
    </x:row>
    <x:row r="480">
      <x:c r="A480" s="11" t="str">
        <x:v>V-0091</x:v>
      </x:c>
      <x:c r="B480" s="14" t="n">
        <x:v>46263</x:v>
      </x:c>
      <x:c r="C480" s="11" t="str">
        <x:v>Ibagué</x:v>
      </x:c>
      <x:c r="D480" s="11" t="str">
        <x:v>Web</x:v>
      </x:c>
      <x:c r="E480" s="11" t="str">
        <x:v>Cuidado personal</x:v>
      </x:c>
      <x:c r="F480" s="11" t="str">
        <x:v>Kit cuidado</x:v>
      </x:c>
      <x:c r="G480" s="11" t="str">
        <x:v>C-0037</x:v>
      </x:c>
      <x:c r="H480" s="11" t="str">
        <x:v>Nuevo</x:v>
      </x:c>
      <x:c r="I480" s="11" t="n">
        <x:v>2</x:v>
      </x:c>
      <x:c r="J480" s="18" t="n">
        <x:v>46200</x:v>
      </x:c>
      <x:c r="K480" s="16" t="n">
        <x:v>0.05</x:v>
      </x:c>
      <x:c r="L480" s="18" t="n">
        <x:v>27700</x:v>
      </x:c>
      <x:c r="M480" s="11" t="str">
        <x:v>Tarjeta</x:v>
      </x:c>
      <x:c r="N480" s="11" t="n">
        <x:v>47</x:v>
      </x:c>
      <x:c r="O480" s="11" t="str">
        <x:v>A tiempo</x:v>
      </x:c>
      <x:c r="P480" s="20" t="n">
        <x:v>5</x:v>
      </x:c>
      <x:c r="Q480" s="18" t="n">
        <x:f>I480*J480</x:f>
        <x:v>92400</x:v>
      </x:c>
      <x:c r="R480" s="18" t="n">
        <x:f>Q480*K480</x:f>
        <x:v>4620</x:v>
      </x:c>
      <x:c r="S480" s="18" t="n">
        <x:f>Q480-R480</x:f>
        <x:v>87780</x:v>
      </x:c>
      <x:c r="T480" s="18" t="n">
        <x:f>I480*L480</x:f>
        <x:v>55400</x:v>
      </x:c>
      <x:c r="U480" s="18" t="n">
        <x:f>S480-T480</x:f>
        <x:v>32380</x:v>
      </x:c>
    </x:row>
    <x:row r="481">
      <x:c r="A481" s="11" t="str">
        <x:v>V-0134</x:v>
      </x:c>
      <x:c r="B481" s="14" t="n">
        <x:v>46263</x:v>
      </x:c>
      <x:c r="C481" s="11" t="str">
        <x:v>Medellín</x:v>
      </x:c>
      <x:c r="D481" s="11" t="str">
        <x:v>Tienda</x:v>
      </x:c>
      <x:c r="E481" s="11" t="str">
        <x:v>Cuidado personal</x:v>
      </x:c>
      <x:c r="F481" s="11" t="str">
        <x:v>Kit cuidado</x:v>
      </x:c>
      <x:c r="G481" s="11" t="str">
        <x:v>C-0034</x:v>
      </x:c>
      <x:c r="H481" s="11" t="str">
        <x:v>Nuevo</x:v>
      </x:c>
      <x:c r="I481" s="11" t="n">
        <x:v>6</x:v>
      </x:c>
      <x:c r="J481" s="18" t="n">
        <x:v>40200</x:v>
      </x:c>
      <x:c r="K481" s="16" t="n">
        <x:v>0</x:v>
      </x:c>
      <x:c r="L481" s="18" t="n">
        <x:v>25300</x:v>
      </x:c>
      <x:c r="M481" s="11" t="str">
        <x:v>Efectivo</x:v>
      </x:c>
      <x:c r="N481" s="11" t="n">
        <x:v>0</x:v>
      </x:c>
      <x:c r="O481" s="11" t="str">
        <x:v>No aplica</x:v>
      </x:c>
      <x:c r="P481" s="20" t="n">
        <x:v>5</x:v>
      </x:c>
      <x:c r="Q481" s="18" t="n">
        <x:f>I481*J481</x:f>
        <x:v>241200</x:v>
      </x:c>
      <x:c r="R481" s="18" t="n">
        <x:f>Q481*K481</x:f>
        <x:v>0</x:v>
      </x:c>
      <x:c r="S481" s="18" t="n">
        <x:f>Q481-R481</x:f>
        <x:v>241200</x:v>
      </x:c>
      <x:c r="T481" s="18" t="n">
        <x:f>I481*L481</x:f>
        <x:v>151800</x:v>
      </x:c>
      <x:c r="U481" s="18" t="n">
        <x:f>S481-T481</x:f>
        <x:v>89400</x:v>
      </x:c>
    </x:row>
  </x:sheetData>
  <x:conditionalFormatting sqref="U2:U481">
    <x:cfRule type="dataBar" priority="1">
      <x:dataBar>
        <x:cfvo type="min"/>
        <x:cfvo type="max"/>
        <x:color rgb="FF2F75B5"/>
      </x:dataBar>
      <x:extLst>
        <x:ext xmlns:x14="http://schemas.microsoft.com/office/spreadsheetml/2009/9/main" uri="{B025F937-C7B1-47D3-B67F-A62EFF666E3E}">
          <x14:id>{7F706655-754B-344F-91FB-CFF62B7622E9}</x14:id>
        </x:ext>
      </x:extLst>
    </x:cfRule>
  </x:conditionalFormatting>
  <x:conditionalFormatting sqref="O2:O481">
    <x:cfRule type="expression" dxfId="0" priority="2">
      <x:formula>O2="Tardía"</x:formula>
    </x:cfRule>
  </x:conditionalFormatting>
  <x:conditionalFormatting sqref="P2:P481">
    <x:cfRule type="colorScale" priority="3">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3464649c30aa4f70"/>
  </x:tableParts>
  <x:extLst>
    <x:ext xmlns:x14="http://schemas.microsoft.com/office/spreadsheetml/2009/9/main" xmlns:xm="http://schemas.microsoft.com/office/excel/2006/main" uri="{78C0D931-6437-407d-A8EE-F0AAD7539E65}">
      <x14:conditionalFormattings>
        <x14:conditionalFormatting>
          <x14:cfRule type="dataBar" priority="1" id="{7F706655-754B-344F-91FB-CFF62B7622E9}">
            <x14:dataBar gradient="1">
              <x14:cfvo type="min"/>
              <x14:cfvo type="max"/>
              <x14:fillColor rgb="FF2F75B5"/>
            </x14:dataBar>
          </x14:cfRule>
          <xm:sqref>U2:U481</xm:sqref>
        </x14:conditionalFormatting>
      </x14:conditionalFormattings>
    </x:ext>
  </x:extLst>
</x:worksheet>
</file>

<file path=xl/worksheets/sheet2.xml><?xml version="1.0" encoding="utf-8"?>
<x:worksheet xmlns:x="http://schemas.openxmlformats.org/spreadsheetml/2006/main">
  <x:sheetFormatPr defaultRowHeight="15"/>
  <x:cols>
    <x:col min="1" max="1" width="24" hidden="0" customWidth="1"/>
    <x:col min="2" max="2" width="42" hidden="0" customWidth="1"/>
    <x:col min="3" max="3" width="28" hidden="0" customWidth="1"/>
    <x:col min="4" max="4" width="46" hidden="0" customWidth="1"/>
  </x:cols>
  <x:sheetData>
    <x:row r="1">
      <x:c r="A1" s="10" t="str">
        <x:v>Campo</x:v>
      </x:c>
      <x:c r="B1" s="10" t="str">
        <x:v>Descripción</x:v>
      </x:c>
      <x:c r="C1" s="10" t="str">
        <x:v>Tipo / ejemplo</x:v>
      </x:c>
      <x:c r="D1" s="10" t="str">
        <x:v>Privacidad</x:v>
      </x:c>
    </x:row>
    <x:row r="2">
      <x:c r="A2" s="11" t="str">
        <x:v>Venta_ID</x:v>
      </x:c>
      <x:c r="B2" s="11" t="str">
        <x:v>Identificador único de la transacción.</x:v>
      </x:c>
      <x:c r="C2" s="11" t="str">
        <x:v>Texto: V-0001</x:v>
      </x:c>
      <x:c r="D2" s="11" t="str">
        <x:v>No identifica a una persona.</x:v>
      </x:c>
    </x:row>
    <x:row r="3">
      <x:c r="A3" s="11" t="str">
        <x:v>Fecha</x:v>
      </x:c>
      <x:c r="B3" s="11" t="str">
        <x:v>Fecha de la transacción.</x:v>
      </x:c>
      <x:c r="C3" s="11" t="str">
        <x:v>Fecha</x:v>
      </x:c>
      <x:c r="D3" s="11" t="str">
        <x:v>Uso analítico temporal.</x:v>
      </x:c>
    </x:row>
    <x:row r="4">
      <x:c r="A4" s="11" t="str">
        <x:v>Ciudad</x:v>
      </x:c>
      <x:c r="B4" s="11" t="str">
        <x:v>Ciudad agregada de la operación.</x:v>
      </x:c>
      <x:c r="C4" s="11" t="str">
        <x:v>Categoría</x:v>
      </x:c>
      <x:c r="D4" s="11" t="str">
        <x:v>No incluye dirección ni coordenadas.</x:v>
      </x:c>
    </x:row>
    <x:row r="5">
      <x:c r="A5" s="11" t="str">
        <x:v>Canal</x:v>
      </x:c>
      <x:c r="B5" s="11" t="str">
        <x:v>Canal de venta.</x:v>
      </x:c>
      <x:c r="C5" s="11" t="str">
        <x:v>Tienda / Web / App</x:v>
      </x:c>
      <x:c r="D5" s="11" t="str">
        <x:v>No sensible.</x:v>
      </x:c>
    </x:row>
    <x:row r="6">
      <x:c r="A6" s="11" t="str">
        <x:v>Categoría</x:v>
      </x:c>
      <x:c r="B6" s="11" t="str">
        <x:v>Familia general del producto.</x:v>
      </x:c>
      <x:c r="C6" s="11" t="str">
        <x:v>Categoría</x:v>
      </x:c>
      <x:c r="D6" s="11" t="str">
        <x:v>No sensible.</x:v>
      </x:c>
    </x:row>
    <x:row r="7">
      <x:c r="A7" s="11" t="str">
        <x:v>Producto</x:v>
      </x:c>
      <x:c r="B7" s="11" t="str">
        <x:v>Descripción genérica del producto.</x:v>
      </x:c>
      <x:c r="C7" s="11" t="str">
        <x:v>Texto</x:v>
      </x:c>
      <x:c r="D7" s="11" t="str">
        <x:v>No sensible.</x:v>
      </x:c>
    </x:row>
    <x:row r="8">
      <x:c r="A8" s="11" t="str">
        <x:v>Cliente_ID_Anonimo</x:v>
      </x:c>
      <x:c r="B8" s="11" t="str">
        <x:v>Código ficticio y seudonimizado para análisis de recurrencia.</x:v>
      </x:c>
      <x:c r="C8" s="11" t="str">
        <x:v>C-0001</x:v>
      </x:c>
      <x:c r="D8" s="11" t="str">
        <x:v>No contiene nombre, documento, correo ni teléfono.</x:v>
      </x:c>
    </x:row>
    <x:row r="9">
      <x:c r="A9" s="11" t="str">
        <x:v>Tipo_Cliente</x:v>
      </x:c>
      <x:c r="B9" s="11" t="str">
        <x:v>Clasificación operativo-analítica.</x:v>
      </x:c>
      <x:c r="C9" s="11" t="str">
        <x:v>Nuevo / Recurrente</x:v>
      </x:c>
      <x:c r="D9" s="11" t="str">
        <x:v>Evitar inferencias personales no necesarias.</x:v>
      </x:c>
    </x:row>
    <x:row r="10">
      <x:c r="A10" s="11" t="str">
        <x:v>Unidades</x:v>
      </x:c>
      <x:c r="B10" s="11" t="str">
        <x:v>Cantidad comprada.</x:v>
      </x:c>
      <x:c r="C10" s="11" t="str">
        <x:v>Entero</x:v>
      </x:c>
      <x:c r="D10" s="11" t="str">
        <x:v>No sensible.</x:v>
      </x:c>
    </x:row>
    <x:row r="11">
      <x:c r="A11" s="11" t="str">
        <x:v>Precio_Unitario</x:v>
      </x:c>
      <x:c r="B11" s="11" t="str">
        <x:v>Precio unitario simulado.</x:v>
      </x:c>
      <x:c r="C11" s="11" t="str">
        <x:v>Moneda</x:v>
      </x:c>
      <x:c r="D11" s="11" t="str">
        <x:v>Dato ficticio.</x:v>
      </x:c>
    </x:row>
    <x:row r="12">
      <x:c r="A12" s="11" t="str">
        <x:v>Descuento_Pct</x:v>
      </x:c>
      <x:c r="B12" s="11" t="str">
        <x:v>Porcentaje de descuento aplicado.</x:v>
      </x:c>
      <x:c r="C12" s="11" t="str">
        <x:v>Porcentaje</x:v>
      </x:c>
      <x:c r="D12" s="11" t="str">
        <x:v>Dato ficticio.</x:v>
      </x:c>
    </x:row>
    <x:row r="13">
      <x:c r="A13" s="11" t="str">
        <x:v>Costo_Unitario</x:v>
      </x:c>
      <x:c r="B13" s="11" t="str">
        <x:v>Costo unitario simulado.</x:v>
      </x:c>
      <x:c r="C13" s="11" t="str">
        <x:v>Moneda</x:v>
      </x:c>
      <x:c r="D13" s="11" t="str">
        <x:v>Dato ficticio.</x:v>
      </x:c>
    </x:row>
    <x:row r="14">
      <x:c r="A14" s="11" t="str">
        <x:v>Medio_Pago</x:v>
      </x:c>
      <x:c r="B14" s="11" t="str">
        <x:v>Tipo de medio de pago, sin datos financieros.</x:v>
      </x:c>
      <x:c r="C14" s="11" t="str">
        <x:v>Categoría</x:v>
      </x:c>
      <x:c r="D14" s="11" t="str">
        <x:v>Nunca incluye número de tarjeta/cuenta.</x:v>
      </x:c>
    </x:row>
    <x:row r="15">
      <x:c r="A15" s="11" t="str">
        <x:v>Tiempo_Entrega_Min</x:v>
      </x:c>
      <x:c r="B15" s="11" t="str">
        <x:v>Duración agregada de entrega.</x:v>
      </x:c>
      <x:c r="C15" s="11" t="str">
        <x:v>Minutos</x:v>
      </x:c>
      <x:c r="D15" s="11" t="str">
        <x:v>No incluye ubicación precisa.</x:v>
      </x:c>
    </x:row>
    <x:row r="16">
      <x:c r="A16" s="11" t="str">
        <x:v>Estado_Entrega</x:v>
      </x:c>
      <x:c r="B16" s="11" t="str">
        <x:v>Resultado operativo de la entrega.</x:v>
      </x:c>
      <x:c r="C16" s="11" t="str">
        <x:v>A tiempo / Tardía / No aplica</x:v>
      </x:c>
      <x:c r="D16" s="11" t="str">
        <x:v>No sensible.</x:v>
      </x:c>
    </x:row>
    <x:row r="17">
      <x:c r="A17" s="11" t="str">
        <x:v>Satisfaccion_1_5</x:v>
      </x:c>
      <x:c r="B17" s="11" t="str">
        <x:v>Puntaje ficticio de satisfacción.</x:v>
      </x:c>
      <x:c r="C17" s="11" t="str">
        <x:v>1 a 5</x:v>
      </x:c>
      <x:c r="D17" s="11" t="str">
        <x:v>No contiene comentarios personales.</x:v>
      </x:c>
    </x:row>
    <x:row r="18">
      <x:c r="A18" s="11" t="str">
        <x:v>Ingreso_Bruto</x:v>
      </x:c>
      <x:c r="B18" s="11" t="str">
        <x:v>Unidades × precio unitario.</x:v>
      </x:c>
      <x:c r="C18" s="11" t="str">
        <x:v>Fórmula</x:v>
      </x:c>
      <x:c r="D18" s="11" t="str">
        <x:v>Dato ficticio.</x:v>
      </x:c>
    </x:row>
    <x:row r="19">
      <x:c r="A19" s="11" t="str">
        <x:v>Descuento_Valor</x:v>
      </x:c>
      <x:c r="B19" s="11" t="str">
        <x:v>Valor monetario del descuento.</x:v>
      </x:c>
      <x:c r="C19" s="11" t="str">
        <x:v>Fórmula</x:v>
      </x:c>
      <x:c r="D19" s="11" t="str">
        <x:v>Dato ficticio.</x:v>
      </x:c>
    </x:row>
    <x:row r="20">
      <x:c r="A20" s="11" t="str">
        <x:v>Ingreso_Neto</x:v>
      </x:c>
      <x:c r="B20" s="11" t="str">
        <x:v>Ingreso bruto − descuento.</x:v>
      </x:c>
      <x:c r="C20" s="11" t="str">
        <x:v>Fórmula</x:v>
      </x:c>
      <x:c r="D20" s="11" t="str">
        <x:v>Dato ficticio.</x:v>
      </x:c>
    </x:row>
    <x:row r="21">
      <x:c r="A21" s="11" t="str">
        <x:v>Costo_Total</x:v>
      </x:c>
      <x:c r="B21" s="11" t="str">
        <x:v>Unidades × costo unitario.</x:v>
      </x:c>
      <x:c r="C21" s="11" t="str">
        <x:v>Fórmula</x:v>
      </x:c>
      <x:c r="D21" s="11" t="str">
        <x:v>Dato ficticio.</x:v>
      </x:c>
    </x:row>
    <x:row r="22">
      <x:c r="A22" s="11" t="str">
        <x:v>Margen_Bruto</x:v>
      </x:c>
      <x:c r="B22" s="11" t="str">
        <x:v>Ingreso neto − costo total.</x:v>
      </x:c>
      <x:c r="C22" s="11" t="str">
        <x:v>Fórmula</x:v>
      </x:c>
      <x:c r="D22" s="11" t="str">
        <x:v>Dato ficticio.</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6" hidden="0" customWidth="1"/>
    <x:col min="2" max="2" width="50" hidden="0" customWidth="1"/>
    <x:col min="3" max="3" width="42" hidden="0" customWidth="1"/>
    <x:col min="4" max="4" width="40" hidden="0" customWidth="1"/>
    <x:col min="5" max="5" width="48" hidden="0" customWidth="1"/>
  </x:cols>
  <x:sheetData>
    <x:row r="1">
      <x:c r="A1" s="10" t="str">
        <x:v>Escenario</x:v>
      </x:c>
      <x:c r="B1" s="10" t="str">
        <x:v>Pregunta de negocio</x:v>
      </x:c>
      <x:c r="C1" s="10" t="str">
        <x:v>Indicadores sugeridos</x:v>
      </x:c>
      <x:c r="D1" s="10" t="str">
        <x:v>Visual mínimo</x:v>
      </x:c>
      <x:c r="E1" s="10" t="str">
        <x:v>Valor esperado</x:v>
      </x:c>
    </x:row>
    <x:row r="2">
      <x:c r="A2" s="11" t="str">
        <x:v>1. Ventas y rentabilidad</x:v>
      </x:c>
      <x:c r="B2" s="11" t="str">
        <x:v>¿Qué categorías, ciudades y canales generan más ingreso neto y margen bruto?</x:v>
      </x:c>
      <x:c r="C2" s="11" t="str">
        <x:v>Ingreso neto, margen bruto, unidades, número de ventas</x:v>
      </x:c>
      <x:c r="D2" s="11" t="str">
        <x:v>Línea mensual + barras por categoría/canal</x:v>
      </x:c>
      <x:c r="E2" s="11" t="str">
        <x:v>Priorizar productos y canales con mejor contribución.</x:v>
      </x:c>
    </x:row>
    <x:row r="3">
      <x:c r="A3" s="11" t="str">
        <x:v>2. Efecto de descuentos</x:v>
      </x:c>
      <x:c r="B3" s="11" t="str">
        <x:v>¿Los descuentos aumentan unidades sin deteriorar demasiado el margen?</x:v>
      </x:c>
      <x:c r="C3" s="11" t="str">
        <x:v>Descuento %, unidades, ingreso neto, margen bruto</x:v>
      </x:c>
      <x:c r="D3" s="11" t="str">
        <x:v>Columnas por nivel de descuento + tarjeta de margen</x:v>
      </x:c>
      <x:c r="E3" s="11" t="str">
        <x:v>Identificar descuentos que aportan volumen sin destruir rentabilidad.</x:v>
      </x:c>
    </x:row>
    <x:row r="4">
      <x:c r="A4" s="11" t="str">
        <x:v>3. Desempeño operativo</x:v>
      </x:c>
      <x:c r="B4" s="11" t="str">
        <x:v>¿Dónde se concentran entregas tardías y mayores tiempos?</x:v>
      </x:c>
      <x:c r="C4" s="11" t="str">
        <x:v>Tiempo promedio, % tardías, satisfacción</x:v>
      </x:c>
      <x:c r="D4" s="11" t="str">
        <x:v>Barras por ciudad/canal + KPI de % tardías</x:v>
      </x:c>
      <x:c r="E4" s="11" t="str">
        <x:v>Detectar focos operativos para mejorar servicio.</x:v>
      </x:c>
    </x:row>
    <x:row r="5">
      <x:c r="A5" s="11" t="str">
        <x:v>4. Recurrencia anónima</x:v>
      </x:c>
      <x:c r="B5" s="11" t="str">
        <x:v>¿Qué proporción de actividad proviene de clientes nuevos vs. recurrentes?</x:v>
      </x:c>
      <x:c r="C5" s="11" t="str">
        <x:v>Ventas, ingreso neto y frecuencia por Cliente_ID_Anonimo</x:v>
      </x:c>
      <x:c r="D5" s="11" t="str">
        <x:v>Columnas Nuevo/Recurrente + distribución de frecuencia</x:v>
      </x:c>
      <x:c r="E5" s="11" t="str">
        <x:v>Entender recurrencia sin usar identidad real ni perfilar datos sensibles.</x:v>
      </x:c>
    </x:row>
    <x:row r="6">
      <x:c r="A6" s="11" t="str">
        <x:v>5. Canal y medio de pago</x:v>
      </x:c>
      <x:c r="B6" s="11" t="str">
        <x:v>¿Cómo cambia el ticket y la satisfacción según canal y medio de pago?</x:v>
      </x:c>
      <x:c r="C6" s="11" t="str">
        <x:v>Ticket promedio, satisfacción promedio, número de ventas</x:v>
      </x:c>
      <x:c r="D6" s="11" t="str">
        <x:v>Matriz o barras apiladas + segmentadores</x:v>
      </x:c>
      <x:c r="E6" s="11" t="str">
        <x:v>Ajustar experiencia comercial y medios de pago según comportamiento agregado.</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10" hidden="0" customWidth="1"/>
  </x:cols>
  <x:sheetData>
    <x:row r="1" ht="35" customHeight="1">
      <x:c r="A1" s="28" t="str">
        <x:v>Taller de análisis de datos con Power BI</x:v>
      </x:c>
    </x:row>
    <x:row r="2" ht="35" customHeight="1">
      <x:c r="A2" s="29" t="str">
        <x:v>Propósito</x:v>
      </x:c>
    </x:row>
    <x:row r="3" ht="35" customHeight="1">
      <x:c r="A3" s="11" t="str">
        <x:v>Usar datos ficticios y anonimizados para formular preguntas de negocio, transformar la información y construir un tablero básico en Power BI.</x:v>
      </x:c>
    </x:row>
    <x:row r="4" ht="35" customHeight="1">
      <x:c r="A4" s="29" t="str">
        <x:v>Reglas de privacidad</x:v>
      </x:c>
    </x:row>
    <x:row r="5" ht="35" customHeight="1">
      <x:c r="A5" s="11" t="str">
        <x:v>1. No reidentificar Cliente_ID_Anonimo. 2. No agregar nombres, documentos, correos, teléfonos, direcciones ni datos financieros reales. 3. Trabajar con agregaciones cuando se presenten resultados. 4. No inferir atributos sensibles. 5. El archivo contiene únicamente datos sintéticos creados para fines académicos.</x:v>
      </x:c>
    </x:row>
    <x:row r="6" ht="35" customHeight="1">
      <x:c r="A6" s="29" t="str">
        <x:v>Producto final</x:v>
      </x:c>
    </x:row>
    <x:row r="7" ht="35" customHeight="1">
      <x:c r="A7" s="11" t="str">
        <x:v>Un tablero básico en Power BI con mínimo 4 KPI, 4 visuales y 3 segmentadores; debe responder al menos 3 de los 5 escenarios propuestos.</x:v>
      </x:c>
    </x:row>
  </x:sheetData>
  <x:pageMargins left="0.7" right="0.7" top="0.75" bottom="0.75" header="0.3" footer="0.3"/>
</x:worksheet>
</file>